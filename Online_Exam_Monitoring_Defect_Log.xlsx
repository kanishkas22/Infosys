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Log" sheetId="1" state="visible" r:id="rId3"/>
    <sheet name="Summary &amp; Legend" sheetId="2" state="visible" r:id="rId4"/>
  </sheets>
  <definedNames>
    <definedName function="false" hidden="true" localSheetId="0" name="_xlnm._FilterDatabase" vbProcedure="false">'Defect Log'!$A$1:$J$45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<sst xmlns="http://schemas.openxmlformats.org/spreadsheetml/2006/main" count="188" uniqueCount="99">
  <si>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</si>
  <si>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</si>
  <si>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</si>
  <si>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</si>
  <si>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</si>
  <si>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</si>
  <si>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</si>
  <si>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</si>
  <si>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</si>
  <si>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</si>
  <si>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Registration accepts a duplicate email address and creates a second candidate account instead of showing an 'already registered' error.</t>
  </si>
  <si>
    <t xml:space="preserve">Sprint 1</t>
  </si>
  <si>
    <t xml:space="preserve">Data/Database</t>
  </si>
  <si>
    <t xml:space="preserve">Added a unique constraint on email and a duplicate check in the registration route.</t>
  </si>
  <si>
    <t xml:space="preserve">Closed</t>
  </si>
  <si>
    <t xml:space="preserve">Webcam photo capture fails silently when the browser camera permission is denied; no message is shown to the candidate at registration.</t>
  </si>
  <si>
    <t xml:space="preserve">UI/UX</t>
  </si>
  <si>
    <t xml:space="preserve">Added camera-permission error handling with a clear on-screen message and a retry option.</t>
  </si>
  <si>
    <t xml:space="preserve">Candidate passwords are stored in plain text in the candidates table; hashing and salting are missing.</t>
  </si>
  <si>
    <t xml:space="preserve">Security</t>
  </si>
  <si>
    <t xml:space="preserve">Switched to hashed and salted passwords; test accounts re-created.</t>
  </si>
  <si>
    <t xml:space="preserve">A session can move directly from Not Started to Submitted, bypassing the Active state.</t>
  </si>
  <si>
    <t xml:space="preserve">Functional</t>
  </si>
  <si>
    <t xml:space="preserve">Added state-transition validation so only allowed transitions are accepted.</t>
  </si>
  <si>
    <t xml:space="preserve">Pausing an exam does not stop the exam timer, so paused time is counted against the candidate.</t>
  </si>
  <si>
    <t xml:space="preserve">Timer now stops on pause and resumes from the remaining time.</t>
  </si>
  <si>
    <t xml:space="preserve">Faker data generator produces some sessions whose end time is earlier than the start time.</t>
  </si>
  <si>
    <t xml:space="preserve">Fixed generator so end time is always start time plus a random duration.</t>
  </si>
  <si>
    <t xml:space="preserve">Haar Cascade does not detect the candidate's face in low light, causing false face-absent intervals to be logged.</t>
  </si>
  <si>
    <t xml:space="preserve">Sprint 2</t>
  </si>
  <si>
    <t xml:space="preserve">Added histogram equalisation before detection and tuned minNeighbors.</t>
  </si>
  <si>
    <t xml:space="preserve">Face-absent interval is left open (no end timestamp) when the candidate submits the exam while the face is not detected.</t>
  </si>
  <si>
    <t xml:space="preserve">Open face-absent interval is now closed at submission time.</t>
  </si>
  <si>
    <t xml:space="preserve">Face detection causes noticeable webcam frame lag on low-spec laptops during a live session.</t>
  </si>
  <si>
    <t xml:space="preserve">Performance</t>
  </si>
  <si>
    <t xml:space="preserve">Reduced frame size and processed every third frame.</t>
  </si>
  <si>
    <t xml:space="preserve">A single tab switch is logged twice because both the blur and visibilitychange events are recorded.</t>
  </si>
  <si>
    <t xml:space="preserve">Merged blur and visibilitychange events and ignored duplicates within 1 second.</t>
  </si>
  <si>
    <t xml:space="preserve">Browser events are stored with client local time while face events use server time, so the event timeline is out of order.</t>
  </si>
  <si>
    <t xml:space="preserve">All events now stored with server-side UTC timestamps.</t>
  </si>
  <si>
    <t xml:space="preserve">Event logging API returns a 500 error instead of a validation error when the session ID is missing from the payload.</t>
  </si>
  <si>
    <t xml:space="preserve">Integration</t>
  </si>
  <si>
    <t xml:space="preserve">Added payload validation that returns a 400 error with a message.</t>
  </si>
  <si>
    <t xml:space="preserve">Rule engine flags a candidate with exactly 3 tab switches although the rule is 'more than 3' (off-by-one in the threshold check).</t>
  </si>
  <si>
    <t xml:space="preserve">Logic/Calculation</t>
  </si>
  <si>
    <t xml:space="preserve">Corrected the comparison to 'greater than' the threshold.</t>
  </si>
  <si>
    <t xml:space="preserve">Threshold changes made in the configuration file are not applied until the Flask server is restarted.</t>
  </si>
  <si>
    <t xml:space="preserve">Configuration is now reloaded each time the rule engine runs.</t>
  </si>
  <si>
    <t xml:space="preserve">Integrity score goes below 0 for sessions with a very high number of events because the normalisation does not clip values to the 0-100 range.</t>
  </si>
  <si>
    <t xml:space="preserve">Sprint 3</t>
  </si>
  <si>
    <t xml:space="preserve">Added clipping so the score stays within 0-100.</t>
  </si>
  <si>
    <t xml:space="preserve">Face presence ratio calculation throws a divide-by-zero error for sessions with zero duration.</t>
  </si>
  <si>
    <t xml:space="preserve">Added a guard for zero-duration sessions.</t>
  </si>
  <si>
    <t xml:space="preserve">A score exactly on the Medium/High boundary is given the wrong risk label (boundary condition uses &gt; instead of &gt;=).</t>
  </si>
  <si>
    <t xml:space="preserve">Changed boundary check to &gt;= and added unit tests for the cutoffs.</t>
  </si>
  <si>
    <t xml:space="preserve">Event frequency heatmap shows time bins out of order, so the x-axis labels are unsorted and misleading.</t>
  </si>
  <si>
    <t xml:space="preserve">Sorted time bins chronologically before plotting.</t>
  </si>
  <si>
    <t xml:space="preserve">K-Means session clusters change on every run because random_state is not fixed, so results cannot be reproduced.</t>
  </si>
  <si>
    <t xml:space="preserve">Fixed random_state so clusters are reproducible.</t>
  </si>
  <si>
    <t xml:space="preserve">AI-generated summary states a different number of tab switches than the event log (agent output not matching source data).</t>
  </si>
  <si>
    <t xml:space="preserve">Computed event counts are now passed to the agent and checked against the source log.</t>
  </si>
  <si>
    <t xml:space="preserve">Session stays stuck in 'Submitting' when the LLM service is unavailable; there is no timeout or fallback summary for the AI report.</t>
  </si>
  <si>
    <t xml:space="preserve">Added a timeout and a fallback template summary when the LLM call fails.</t>
  </si>
  <si>
    <t xml:space="preserve">Screenshot evidence is saved against the wrong session when two candidates are flagged at the same moment.</t>
  </si>
  <si>
    <t xml:space="preserve">Session ID is now passed explicitly when saving a screenshot.</t>
  </si>
  <si>
    <t xml:space="preserve">A candidate can open the evidence page by typing the URL directly; role check is missing for this route.</t>
  </si>
  <si>
    <t xml:space="preserve">Added a role-based access check to the evidence route.</t>
  </si>
  <si>
    <t xml:space="preserve">Streamlit dashboard does not refresh live session status automatically; the invigilator has to reload the page.</t>
  </si>
  <si>
    <t xml:space="preserve">Sprint 4</t>
  </si>
  <si>
    <t xml:space="preserve">Added automatic refresh at a fixed interval to the live status view.</t>
  </si>
  <si>
    <t xml:space="preserve">Dashboard alerts panel becomes slow to load when more than 100 sessions are present.</t>
  </si>
  <si>
    <t xml:space="preserve">Added pagination and a database index on session ID.</t>
  </si>
  <si>
    <t xml:space="preserve">CSV export breaks columns when an AI summary contains commas because the text field is not quoted.</t>
  </si>
  <si>
    <t xml:space="preserve">Text fields are now quoted when exporting to CSV.</t>
  </si>
  <si>
    <t xml:space="preserve">JSON export leaves out cluster assignments for sessions that have no cluster label instead of showing null.</t>
  </si>
  <si>
    <t xml:space="preserve">Cluster field is now exported as null when unassigned.</t>
  </si>
  <si>
    <t xml:space="preserve">Dashboard analytics charts overflow the screen on small displays and tablets.</t>
  </si>
  <si>
    <t xml:space="preserve">Compatibility</t>
  </si>
  <si>
    <t xml:space="preserve">Open</t>
  </si>
  <si>
    <t xml:space="preserve">User manual has no steps for configuring the LLM API key needed for the AI report agent.</t>
  </si>
  <si>
    <t xml:space="preserve">Documentation</t>
  </si>
  <si>
    <t xml:space="preserve">Online Exam Monitoring &amp; Integrity Analytics Platform: Defect Summary</t>
  </si>
  <si>
    <t xml:space="preserve">Counts update automatically from the 'Defect Log' sheet.</t>
  </si>
  <si>
    <t xml:space="preserve">Total Defects</t>
  </si>
  <si>
    <t xml:space="preserve">% Closed</t>
  </si>
  <si>
    <t xml:space="preserve">Sprint Dates</t>
  </si>
  <si>
    <t xml:space="preserve">21-Jul-2026 to 03-Aug-2026</t>
  </si>
  <si>
    <t xml:space="preserve">04-Aug-2026 to 17-Aug-2026</t>
  </si>
  <si>
    <t xml:space="preserve">18-Aug-2026 to 31-Aug-2026</t>
  </si>
  <si>
    <t xml:space="preserve">01-Sep-2026 to 14-Sep-2026</t>
  </si>
  <si>
    <t xml:space="preserve">Total</t>
  </si>
  <si>
    <t xml:space="preserve">Defects by Type</t>
  </si>
  <si>
    <t xml:space="preserve">Count</t>
  </si>
  <si>
    <t xml:space="preserve">How to use / Assumptions</t>
  </si>
  <si>
    <t xml:space="preserve">1. The 29 entries in the Defect Log are sample defects written from the modules and test scenarios in the project description. Dates assume the project started on 21-Jul-2026, with 2-week sprints (dates shown in the table above). Replace or delete the samples and log real defects as they are found.</t>
  </si>
  <si>
    <t xml:space="preserve">2. Submitted By and Assigned To are left blank because team member names are not known. Two Sprint 4 defects (Sl No 28 and 29) are left Open with no action yet, to show a mix of statuses.</t>
  </si>
  <si>
    <t xml:space="preserve">3. Update Status to Closed once the fix is verified. New rows can be added in the spare formatted rows at the bottom of the log.</t>
  </si>
  <si>
    <t xml:space="preserve">4. Detected Sprint uses the same Sprint 1 to Sprint 4 numbering as the Agile backlog (2-week sprints over 8 weeks).</t>
  </si>
  <si>
    <t xml:space="preserve">5. Type Of Defect values: Functional, UI/UX, Performance, Security, Data/Database, Integration, Logic/Calculation, Compatibility, Documentation.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</si>
</sst>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4A86E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80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42"/>
    <col collapsed="false" customWidth="true" hidden="false" outlineLevel="0" max="9" min="9" style="0" width="18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9.5" hidden="false" customHeight="true" outlineLevel="0" collapsed="false">
      <c r="A2" s="2" t="n">
        <v>1</v>
      </c>
      <c r="B2" s="3"/>
      <c r="C2" s="4" t="n">
        <v>46227</v>
      </c>
      <c r="D2" s="3" t="s">
        <v>10</v>
      </c>
      <c r="E2" s="2" t="s">
        <v>11</v>
      </c>
      <c r="F2" s="3"/>
      <c r="G2" s="2" t="s">
        <v>12</v>
      </c>
      <c r="H2" s="3" t="s">
        <v>13</v>
      </c>
      <c r="I2" s="4" t="n">
        <v>46230</v>
      </c>
      <c r="J2" s="2" t="s">
        <v>14</v>
      </c>
    </row>
    <row r="3" customFormat="false" ht="49.5" hidden="false" customHeight="true" outlineLevel="0" collapsed="false">
      <c r="A3" s="2" t="n">
        <v>2</v>
      </c>
      <c r="B3" s="3"/>
      <c r="C3" s="4" t="n">
        <v>46230</v>
      </c>
      <c r="D3" s="3" t="s">
        <v>15</v>
      </c>
      <c r="E3" s="2" t="s">
        <v>11</v>
      </c>
      <c r="F3" s="3"/>
      <c r="G3" s="2" t="s">
        <v>16</v>
      </c>
      <c r="H3" s="3" t="s">
        <v>17</v>
      </c>
      <c r="I3" s="4" t="n">
        <v>46231</v>
      </c>
      <c r="J3" s="2" t="s">
        <v>14</v>
      </c>
    </row>
    <row r="4" customFormat="false" ht="36" hidden="false" customHeight="true" outlineLevel="0" collapsed="false">
      <c r="A4" s="2" t="n">
        <v>3</v>
      </c>
      <c r="B4" s="3"/>
      <c r="C4" s="4" t="n">
        <v>46231</v>
      </c>
      <c r="D4" s="3" t="s">
        <v>18</v>
      </c>
      <c r="E4" s="2" t="s">
        <v>11</v>
      </c>
      <c r="F4" s="3"/>
      <c r="G4" s="2" t="s">
        <v>19</v>
      </c>
      <c r="H4" s="3" t="s">
        <v>20</v>
      </c>
      <c r="I4" s="4" t="n">
        <v>46232</v>
      </c>
      <c r="J4" s="2" t="s">
        <v>14</v>
      </c>
    </row>
    <row r="5" customFormat="false" ht="36" hidden="false" customHeight="true" outlineLevel="0" collapsed="false">
      <c r="A5" s="2" t="n">
        <v>4</v>
      </c>
      <c r="B5" s="3"/>
      <c r="C5" s="4" t="n">
        <v>46232</v>
      </c>
      <c r="D5" s="3" t="s">
        <v>21</v>
      </c>
      <c r="E5" s="2" t="s">
        <v>11</v>
      </c>
      <c r="F5" s="3"/>
      <c r="G5" s="2" t="s">
        <v>22</v>
      </c>
      <c r="H5" s="3" t="s">
        <v>23</v>
      </c>
      <c r="I5" s="4" t="n">
        <v>46234</v>
      </c>
      <c r="J5" s="2" t="s">
        <v>14</v>
      </c>
    </row>
    <row r="6" customFormat="false" ht="36" hidden="false" customHeight="true" outlineLevel="0" collapsed="false">
      <c r="A6" s="2" t="n">
        <v>5</v>
      </c>
      <c r="B6" s="3"/>
      <c r="C6" s="4" t="n">
        <v>46233</v>
      </c>
      <c r="D6" s="3" t="s">
        <v>24</v>
      </c>
      <c r="E6" s="2" t="s">
        <v>11</v>
      </c>
      <c r="F6" s="3"/>
      <c r="G6" s="2" t="s">
        <v>22</v>
      </c>
      <c r="H6" s="3" t="s">
        <v>25</v>
      </c>
      <c r="I6" s="4" t="n">
        <v>46237</v>
      </c>
      <c r="J6" s="2" t="s">
        <v>14</v>
      </c>
    </row>
    <row r="7" customFormat="false" ht="36" hidden="false" customHeight="true" outlineLevel="0" collapsed="false">
      <c r="A7" s="2" t="n">
        <v>6</v>
      </c>
      <c r="B7" s="3"/>
      <c r="C7" s="4" t="n">
        <v>46234</v>
      </c>
      <c r="D7" s="3" t="s">
        <v>26</v>
      </c>
      <c r="E7" s="2" t="s">
        <v>11</v>
      </c>
      <c r="F7" s="3"/>
      <c r="G7" s="2" t="s">
        <v>12</v>
      </c>
      <c r="H7" s="3" t="s">
        <v>27</v>
      </c>
      <c r="I7" s="4" t="n">
        <v>46237</v>
      </c>
      <c r="J7" s="2" t="s">
        <v>14</v>
      </c>
    </row>
    <row r="8" customFormat="false" ht="36" hidden="false" customHeight="true" outlineLevel="0" collapsed="false">
      <c r="A8" s="2" t="n">
        <v>7</v>
      </c>
      <c r="B8" s="3"/>
      <c r="C8" s="4" t="n">
        <v>46240</v>
      </c>
      <c r="D8" s="3" t="s">
        <v>28</v>
      </c>
      <c r="E8" s="2" t="s">
        <v>29</v>
      </c>
      <c r="F8" s="3"/>
      <c r="G8" s="2" t="s">
        <v>22</v>
      </c>
      <c r="H8" s="3" t="s">
        <v>30</v>
      </c>
      <c r="I8" s="4" t="n">
        <v>46244</v>
      </c>
      <c r="J8" s="2" t="s">
        <v>14</v>
      </c>
    </row>
    <row r="9" customFormat="false" ht="36" hidden="false" customHeight="true" outlineLevel="0" collapsed="false">
      <c r="A9" s="2" t="n">
        <v>8</v>
      </c>
      <c r="B9" s="3"/>
      <c r="C9" s="4" t="n">
        <v>46241</v>
      </c>
      <c r="D9" s="3" t="s">
        <v>31</v>
      </c>
      <c r="E9" s="2" t="s">
        <v>29</v>
      </c>
      <c r="F9" s="3"/>
      <c r="G9" s="2" t="s">
        <v>12</v>
      </c>
      <c r="H9" s="3" t="s">
        <v>32</v>
      </c>
      <c r="I9" s="4" t="n">
        <v>46244</v>
      </c>
      <c r="J9" s="2" t="s">
        <v>14</v>
      </c>
    </row>
    <row r="10" customFormat="false" ht="36" hidden="false" customHeight="true" outlineLevel="0" collapsed="false">
      <c r="A10" s="2" t="n">
        <v>9</v>
      </c>
      <c r="B10" s="3"/>
      <c r="C10" s="4" t="n">
        <v>46244</v>
      </c>
      <c r="D10" s="3" t="s">
        <v>33</v>
      </c>
      <c r="E10" s="2" t="s">
        <v>29</v>
      </c>
      <c r="F10" s="3"/>
      <c r="G10" s="2" t="s">
        <v>34</v>
      </c>
      <c r="H10" s="3" t="s">
        <v>35</v>
      </c>
      <c r="I10" s="4" t="n">
        <v>46246</v>
      </c>
      <c r="J10" s="2" t="s">
        <v>14</v>
      </c>
    </row>
    <row r="11" customFormat="false" ht="36" hidden="false" customHeight="true" outlineLevel="0" collapsed="false">
      <c r="A11" s="2" t="n">
        <v>10</v>
      </c>
      <c r="B11" s="3"/>
      <c r="C11" s="4" t="n">
        <v>46245</v>
      </c>
      <c r="D11" s="3" t="s">
        <v>36</v>
      </c>
      <c r="E11" s="2" t="s">
        <v>29</v>
      </c>
      <c r="F11" s="3"/>
      <c r="G11" s="2" t="s">
        <v>22</v>
      </c>
      <c r="H11" s="3" t="s">
        <v>37</v>
      </c>
      <c r="I11" s="4" t="n">
        <v>46246</v>
      </c>
      <c r="J11" s="2" t="s">
        <v>14</v>
      </c>
    </row>
    <row r="12" customFormat="false" ht="36" hidden="false" customHeight="true" outlineLevel="0" collapsed="false">
      <c r="A12" s="2" t="n">
        <v>11</v>
      </c>
      <c r="B12" s="3"/>
      <c r="C12" s="4" t="n">
        <v>46245</v>
      </c>
      <c r="D12" s="3" t="s">
        <v>38</v>
      </c>
      <c r="E12" s="2" t="s">
        <v>29</v>
      </c>
      <c r="F12" s="3"/>
      <c r="G12" s="2" t="s">
        <v>12</v>
      </c>
      <c r="H12" s="3" t="s">
        <v>39</v>
      </c>
      <c r="I12" s="4" t="n">
        <v>46247</v>
      </c>
      <c r="J12" s="2" t="s">
        <v>14</v>
      </c>
    </row>
    <row r="13" customFormat="false" ht="36" hidden="false" customHeight="true" outlineLevel="0" collapsed="false">
      <c r="A13" s="2" t="n">
        <v>12</v>
      </c>
      <c r="B13" s="3"/>
      <c r="C13" s="4" t="n">
        <v>46246</v>
      </c>
      <c r="D13" s="3" t="s">
        <v>40</v>
      </c>
      <c r="E13" s="2" t="s">
        <v>29</v>
      </c>
      <c r="F13" s="3"/>
      <c r="G13" s="2" t="s">
        <v>41</v>
      </c>
      <c r="H13" s="3" t="s">
        <v>42</v>
      </c>
      <c r="I13" s="4" t="n">
        <v>46247</v>
      </c>
      <c r="J13" s="2" t="s">
        <v>14</v>
      </c>
    </row>
    <row r="14" customFormat="false" ht="36" hidden="false" customHeight="true" outlineLevel="0" collapsed="false">
      <c r="A14" s="2" t="n">
        <v>13</v>
      </c>
      <c r="B14" s="3"/>
      <c r="C14" s="4" t="n">
        <v>46247</v>
      </c>
      <c r="D14" s="3" t="s">
        <v>43</v>
      </c>
      <c r="E14" s="2" t="s">
        <v>29</v>
      </c>
      <c r="F14" s="3"/>
      <c r="G14" s="2" t="s">
        <v>44</v>
      </c>
      <c r="H14" s="3" t="s">
        <v>45</v>
      </c>
      <c r="I14" s="4" t="n">
        <v>46248</v>
      </c>
      <c r="J14" s="2" t="s">
        <v>14</v>
      </c>
    </row>
    <row r="15" customFormat="false" ht="36" hidden="false" customHeight="true" outlineLevel="0" collapsed="false">
      <c r="A15" s="2" t="n">
        <v>14</v>
      </c>
      <c r="B15" s="3"/>
      <c r="C15" s="4" t="n">
        <v>46248</v>
      </c>
      <c r="D15" s="3" t="s">
        <v>46</v>
      </c>
      <c r="E15" s="2" t="s">
        <v>29</v>
      </c>
      <c r="F15" s="3"/>
      <c r="G15" s="2" t="s">
        <v>22</v>
      </c>
      <c r="H15" s="3" t="s">
        <v>47</v>
      </c>
      <c r="I15" s="4" t="n">
        <v>46251</v>
      </c>
      <c r="J15" s="2" t="s">
        <v>14</v>
      </c>
    </row>
    <row r="16" customFormat="false" ht="36" hidden="false" customHeight="true" outlineLevel="0" collapsed="false">
      <c r="A16" s="2" t="n">
        <v>15</v>
      </c>
      <c r="B16" s="3"/>
      <c r="C16" s="4" t="n">
        <v>46253</v>
      </c>
      <c r="D16" s="3" t="s">
        <v>48</v>
      </c>
      <c r="E16" s="2" t="s">
        <v>49</v>
      </c>
      <c r="F16" s="3"/>
      <c r="G16" s="2" t="s">
        <v>44</v>
      </c>
      <c r="H16" s="3" t="s">
        <v>50</v>
      </c>
      <c r="I16" s="4" t="n">
        <v>46254</v>
      </c>
      <c r="J16" s="2" t="s">
        <v>14</v>
      </c>
    </row>
    <row r="17" customFormat="false" ht="36" hidden="false" customHeight="true" outlineLevel="0" collapsed="false">
      <c r="A17" s="2" t="n">
        <v>16</v>
      </c>
      <c r="B17" s="3"/>
      <c r="C17" s="4" t="n">
        <v>46253</v>
      </c>
      <c r="D17" s="3" t="s">
        <v>51</v>
      </c>
      <c r="E17" s="2" t="s">
        <v>49</v>
      </c>
      <c r="F17" s="3"/>
      <c r="G17" s="2" t="s">
        <v>44</v>
      </c>
      <c r="H17" s="3" t="s">
        <v>52</v>
      </c>
      <c r="I17" s="4" t="n">
        <v>46254</v>
      </c>
      <c r="J17" s="2" t="s">
        <v>14</v>
      </c>
    </row>
    <row r="18" customFormat="false" ht="36" hidden="false" customHeight="true" outlineLevel="0" collapsed="false">
      <c r="A18" s="2" t="n">
        <v>17</v>
      </c>
      <c r="B18" s="3"/>
      <c r="C18" s="4" t="n">
        <v>46254</v>
      </c>
      <c r="D18" s="3" t="s">
        <v>53</v>
      </c>
      <c r="E18" s="2" t="s">
        <v>49</v>
      </c>
      <c r="F18" s="3"/>
      <c r="G18" s="2" t="s">
        <v>44</v>
      </c>
      <c r="H18" s="3" t="s">
        <v>54</v>
      </c>
      <c r="I18" s="4" t="n">
        <v>46255</v>
      </c>
      <c r="J18" s="2" t="s">
        <v>14</v>
      </c>
    </row>
    <row r="19" customFormat="false" ht="36" hidden="false" customHeight="true" outlineLevel="0" collapsed="false">
      <c r="A19" s="2" t="n">
        <v>18</v>
      </c>
      <c r="B19" s="3"/>
      <c r="C19" s="4" t="n">
        <v>46255</v>
      </c>
      <c r="D19" s="3" t="s">
        <v>55</v>
      </c>
      <c r="E19" s="2" t="s">
        <v>49</v>
      </c>
      <c r="F19" s="3"/>
      <c r="G19" s="2" t="s">
        <v>16</v>
      </c>
      <c r="H19" s="3" t="s">
        <v>56</v>
      </c>
      <c r="I19" s="4" t="n">
        <v>46258</v>
      </c>
      <c r="J19" s="2" t="s">
        <v>14</v>
      </c>
    </row>
    <row r="20" customFormat="false" ht="36" hidden="false" customHeight="true" outlineLevel="0" collapsed="false">
      <c r="A20" s="2" t="n">
        <v>19</v>
      </c>
      <c r="B20" s="3"/>
      <c r="C20" s="4" t="n">
        <v>46258</v>
      </c>
      <c r="D20" s="3" t="s">
        <v>57</v>
      </c>
      <c r="E20" s="2" t="s">
        <v>49</v>
      </c>
      <c r="F20" s="3"/>
      <c r="G20" s="2" t="s">
        <v>44</v>
      </c>
      <c r="H20" s="3" t="s">
        <v>58</v>
      </c>
      <c r="I20" s="4" t="n">
        <v>46259</v>
      </c>
      <c r="J20" s="2" t="s">
        <v>14</v>
      </c>
    </row>
    <row r="21" customFormat="false" ht="49.5" hidden="false" customHeight="true" outlineLevel="0" collapsed="false">
      <c r="A21" s="2" t="n">
        <v>20</v>
      </c>
      <c r="B21" s="3"/>
      <c r="C21" s="4" t="n">
        <v>46259</v>
      </c>
      <c r="D21" s="3" t="s">
        <v>59</v>
      </c>
      <c r="E21" s="2" t="s">
        <v>49</v>
      </c>
      <c r="F21" s="3"/>
      <c r="G21" s="2" t="s">
        <v>22</v>
      </c>
      <c r="H21" s="3" t="s">
        <v>60</v>
      </c>
      <c r="I21" s="4" t="n">
        <v>46262</v>
      </c>
      <c r="J21" s="2" t="s">
        <v>14</v>
      </c>
    </row>
    <row r="22" customFormat="false" ht="36" hidden="false" customHeight="true" outlineLevel="0" collapsed="false">
      <c r="A22" s="2" t="n">
        <v>21</v>
      </c>
      <c r="B22" s="3"/>
      <c r="C22" s="4" t="n">
        <v>46260</v>
      </c>
      <c r="D22" s="3" t="s">
        <v>61</v>
      </c>
      <c r="E22" s="2" t="s">
        <v>49</v>
      </c>
      <c r="F22" s="3"/>
      <c r="G22" s="2" t="s">
        <v>41</v>
      </c>
      <c r="H22" s="3" t="s">
        <v>62</v>
      </c>
      <c r="I22" s="4" t="n">
        <v>46261</v>
      </c>
      <c r="J22" s="2" t="s">
        <v>14</v>
      </c>
    </row>
    <row r="23" customFormat="false" ht="36" hidden="false" customHeight="true" outlineLevel="0" collapsed="false">
      <c r="A23" s="2" t="n">
        <v>22</v>
      </c>
      <c r="B23" s="3"/>
      <c r="C23" s="4" t="n">
        <v>46261</v>
      </c>
      <c r="D23" s="3" t="s">
        <v>63</v>
      </c>
      <c r="E23" s="2" t="s">
        <v>49</v>
      </c>
      <c r="F23" s="3"/>
      <c r="G23" s="2" t="s">
        <v>12</v>
      </c>
      <c r="H23" s="3" t="s">
        <v>64</v>
      </c>
      <c r="I23" s="4" t="n">
        <v>46265</v>
      </c>
      <c r="J23" s="2" t="s">
        <v>14</v>
      </c>
    </row>
    <row r="24" customFormat="false" ht="36" hidden="false" customHeight="true" outlineLevel="0" collapsed="false">
      <c r="A24" s="2" t="n">
        <v>23</v>
      </c>
      <c r="B24" s="3"/>
      <c r="C24" s="4" t="n">
        <v>46262</v>
      </c>
      <c r="D24" s="3" t="s">
        <v>65</v>
      </c>
      <c r="E24" s="2" t="s">
        <v>49</v>
      </c>
      <c r="F24" s="3"/>
      <c r="G24" s="2" t="s">
        <v>19</v>
      </c>
      <c r="H24" s="3" t="s">
        <v>66</v>
      </c>
      <c r="I24" s="4" t="n">
        <v>46265</v>
      </c>
      <c r="J24" s="2" t="s">
        <v>14</v>
      </c>
    </row>
    <row r="25" customFormat="false" ht="36" hidden="false" customHeight="true" outlineLevel="0" collapsed="false">
      <c r="A25" s="2" t="n">
        <v>24</v>
      </c>
      <c r="B25" s="3"/>
      <c r="C25" s="4" t="n">
        <v>46267</v>
      </c>
      <c r="D25" s="3" t="s">
        <v>67</v>
      </c>
      <c r="E25" s="2" t="s">
        <v>68</v>
      </c>
      <c r="F25" s="3"/>
      <c r="G25" s="2" t="s">
        <v>22</v>
      </c>
      <c r="H25" s="3" t="s">
        <v>69</v>
      </c>
      <c r="I25" s="4" t="n">
        <v>46269</v>
      </c>
      <c r="J25" s="2" t="s">
        <v>14</v>
      </c>
    </row>
    <row r="26" customFormat="false" ht="36" hidden="false" customHeight="true" outlineLevel="0" collapsed="false">
      <c r="A26" s="2" t="n">
        <v>25</v>
      </c>
      <c r="B26" s="3"/>
      <c r="C26" s="4" t="n">
        <v>46268</v>
      </c>
      <c r="D26" s="3" t="s">
        <v>70</v>
      </c>
      <c r="E26" s="2" t="s">
        <v>68</v>
      </c>
      <c r="F26" s="3"/>
      <c r="G26" s="2" t="s">
        <v>34</v>
      </c>
      <c r="H26" s="3" t="s">
        <v>71</v>
      </c>
      <c r="I26" s="4" t="n">
        <v>46273</v>
      </c>
      <c r="J26" s="2" t="s">
        <v>14</v>
      </c>
    </row>
    <row r="27" customFormat="false" ht="36" hidden="false" customHeight="true" outlineLevel="0" collapsed="false">
      <c r="A27" s="2" t="n">
        <v>26</v>
      </c>
      <c r="B27" s="3"/>
      <c r="C27" s="4" t="n">
        <v>46272</v>
      </c>
      <c r="D27" s="3" t="s">
        <v>72</v>
      </c>
      <c r="E27" s="2" t="s">
        <v>68</v>
      </c>
      <c r="F27" s="3"/>
      <c r="G27" s="2" t="s">
        <v>12</v>
      </c>
      <c r="H27" s="3" t="s">
        <v>73</v>
      </c>
      <c r="I27" s="4" t="n">
        <v>46273</v>
      </c>
      <c r="J27" s="2" t="s">
        <v>14</v>
      </c>
    </row>
    <row r="28" customFormat="false" ht="36" hidden="false" customHeight="true" outlineLevel="0" collapsed="false">
      <c r="A28" s="2" t="n">
        <v>27</v>
      </c>
      <c r="B28" s="3"/>
      <c r="C28" s="4" t="n">
        <v>46273</v>
      </c>
      <c r="D28" s="3" t="s">
        <v>74</v>
      </c>
      <c r="E28" s="2" t="s">
        <v>68</v>
      </c>
      <c r="F28" s="3"/>
      <c r="G28" s="2" t="s">
        <v>22</v>
      </c>
      <c r="H28" s="3" t="s">
        <v>75</v>
      </c>
      <c r="I28" s="4" t="n">
        <v>46274</v>
      </c>
      <c r="J28" s="2" t="s">
        <v>14</v>
      </c>
    </row>
    <row r="29" customFormat="false" ht="30" hidden="false" customHeight="true" outlineLevel="0" collapsed="false">
      <c r="A29" s="2" t="n">
        <v>28</v>
      </c>
      <c r="B29" s="3"/>
      <c r="C29" s="4" t="n">
        <v>46275</v>
      </c>
      <c r="D29" s="3" t="s">
        <v>76</v>
      </c>
      <c r="E29" s="2" t="s">
        <v>68</v>
      </c>
      <c r="F29" s="3"/>
      <c r="G29" s="2" t="s">
        <v>77</v>
      </c>
      <c r="H29" s="3"/>
      <c r="I29" s="4"/>
      <c r="J29" s="2" t="s">
        <v>78</v>
      </c>
    </row>
    <row r="30" customFormat="false" ht="36" hidden="false" customHeight="true" outlineLevel="0" collapsed="false">
      <c r="A30" s="2" t="n">
        <v>29</v>
      </c>
      <c r="B30" s="3"/>
      <c r="C30" s="4" t="n">
        <v>46276</v>
      </c>
      <c r="D30" s="3" t="s">
        <v>79</v>
      </c>
      <c r="E30" s="2" t="s">
        <v>68</v>
      </c>
      <c r="F30" s="3"/>
      <c r="G30" s="2" t="s">
        <v>80</v>
      </c>
      <c r="H30" s="3"/>
      <c r="I30" s="4"/>
      <c r="J30" s="2" t="s">
        <v>78</v>
      </c>
    </row>
    <row r="31" customFormat="false" ht="30" hidden="false" customHeight="true" outlineLevel="0" collapsed="false">
      <c r="A31" s="2"/>
      <c r="B31" s="3"/>
      <c r="C31" s="4"/>
      <c r="D31" s="3"/>
      <c r="E31" s="2"/>
      <c r="F31" s="3"/>
      <c r="G31" s="2"/>
      <c r="H31" s="3"/>
      <c r="I31" s="4"/>
      <c r="J31" s="2"/>
    </row>
    <row r="32" customFormat="false" ht="30" hidden="false" customHeight="true" outlineLevel="0" collapsed="false">
      <c r="A32" s="2"/>
      <c r="B32" s="3"/>
      <c r="C32" s="4"/>
      <c r="D32" s="3"/>
      <c r="E32" s="2"/>
      <c r="F32" s="3"/>
      <c r="G32" s="2"/>
      <c r="H32" s="3"/>
      <c r="I32" s="4"/>
      <c r="J32" s="2"/>
    </row>
    <row r="33" customFormat="false" ht="30" hidden="false" customHeight="true" outlineLevel="0" collapsed="false">
      <c r="A33" s="2"/>
      <c r="B33" s="3"/>
      <c r="C33" s="4"/>
      <c r="D33" s="3"/>
      <c r="E33" s="2"/>
      <c r="F33" s="3"/>
      <c r="G33" s="2"/>
      <c r="H33" s="3"/>
      <c r="I33" s="4"/>
      <c r="J33" s="2"/>
    </row>
    <row r="34" customFormat="false" ht="30" hidden="false" customHeight="true" outlineLevel="0" collapsed="false">
      <c r="A34" s="2"/>
      <c r="B34" s="3"/>
      <c r="C34" s="4"/>
      <c r="D34" s="3"/>
      <c r="E34" s="2"/>
      <c r="F34" s="3"/>
      <c r="G34" s="2"/>
      <c r="H34" s="3"/>
      <c r="I34" s="4"/>
      <c r="J34" s="2"/>
    </row>
    <row r="35" customFormat="false" ht="30" hidden="false" customHeight="true" outlineLevel="0" collapsed="false">
      <c r="A35" s="2"/>
      <c r="B35" s="3"/>
      <c r="C35" s="4"/>
      <c r="D35" s="3"/>
      <c r="E35" s="2"/>
      <c r="F35" s="3"/>
      <c r="G35" s="2"/>
      <c r="H35" s="3"/>
      <c r="I35" s="4"/>
      <c r="J35" s="2"/>
    </row>
    <row r="36" customFormat="false" ht="30" hidden="false" customHeight="true" outlineLevel="0" collapsed="false">
      <c r="A36" s="2"/>
      <c r="B36" s="3"/>
      <c r="C36" s="4"/>
      <c r="D36" s="3"/>
      <c r="E36" s="2"/>
      <c r="F36" s="3"/>
      <c r="G36" s="2"/>
      <c r="H36" s="3"/>
      <c r="I36" s="4"/>
      <c r="J36" s="2"/>
    </row>
    <row r="37" customFormat="false" ht="30" hidden="false" customHeight="true" outlineLevel="0" collapsed="false">
      <c r="A37" s="2"/>
      <c r="B37" s="3"/>
      <c r="C37" s="4"/>
      <c r="D37" s="3"/>
      <c r="E37" s="2"/>
      <c r="F37" s="3"/>
      <c r="G37" s="2"/>
      <c r="H37" s="3"/>
      <c r="I37" s="4"/>
      <c r="J37" s="2"/>
    </row>
    <row r="38" customFormat="false" ht="30" hidden="false" customHeight="true" outlineLevel="0" collapsed="false">
      <c r="A38" s="2"/>
      <c r="B38" s="3"/>
      <c r="C38" s="4"/>
      <c r="D38" s="3"/>
      <c r="E38" s="2"/>
      <c r="F38" s="3"/>
      <c r="G38" s="2"/>
      <c r="H38" s="3"/>
      <c r="I38" s="4"/>
      <c r="J38" s="2"/>
    </row>
    <row r="39" customFormat="false" ht="30" hidden="false" customHeight="true" outlineLevel="0" collapsed="false">
      <c r="A39" s="2"/>
      <c r="B39" s="3"/>
      <c r="C39" s="4"/>
      <c r="D39" s="3"/>
      <c r="E39" s="2"/>
      <c r="F39" s="3"/>
      <c r="G39" s="2"/>
      <c r="H39" s="3"/>
      <c r="I39" s="4"/>
      <c r="J39" s="2"/>
    </row>
    <row r="40" customFormat="false" ht="30" hidden="false" customHeight="true" outlineLevel="0" collapsed="false">
      <c r="A40" s="2"/>
      <c r="B40" s="3"/>
      <c r="C40" s="4"/>
      <c r="D40" s="3"/>
      <c r="E40" s="2"/>
      <c r="F40" s="3"/>
      <c r="G40" s="2"/>
      <c r="H40" s="3"/>
      <c r="I40" s="4"/>
      <c r="J40" s="2"/>
    </row>
    <row r="41" customFormat="false" ht="30" hidden="false" customHeight="true" outlineLevel="0" collapsed="false">
      <c r="A41" s="2"/>
      <c r="B41" s="3"/>
      <c r="C41" s="4"/>
      <c r="D41" s="3"/>
      <c r="E41" s="2"/>
      <c r="F41" s="3"/>
      <c r="G41" s="2"/>
      <c r="H41" s="3"/>
      <c r="I41" s="4"/>
      <c r="J41" s="2"/>
    </row>
    <row r="42" customFormat="false" ht="30" hidden="false" customHeight="true" outlineLevel="0" collapsed="false">
      <c r="A42" s="2"/>
      <c r="B42" s="3"/>
      <c r="C42" s="4"/>
      <c r="D42" s="3"/>
      <c r="E42" s="2"/>
      <c r="F42" s="3"/>
      <c r="G42" s="2"/>
      <c r="H42" s="3"/>
      <c r="I42" s="4"/>
      <c r="J42" s="2"/>
    </row>
    <row r="43" customFormat="false" ht="30" hidden="false" customHeight="true" outlineLevel="0" collapsed="false">
      <c r="A43" s="2"/>
      <c r="B43" s="3"/>
      <c r="C43" s="4"/>
      <c r="D43" s="3"/>
      <c r="E43" s="2"/>
      <c r="F43" s="3"/>
      <c r="G43" s="2"/>
      <c r="H43" s="3"/>
      <c r="I43" s="4"/>
      <c r="J43" s="2"/>
    </row>
    <row r="44" customFormat="false" ht="30" hidden="false" customHeight="true" outlineLevel="0" collapsed="false">
      <c r="A44" s="2"/>
      <c r="B44" s="3"/>
      <c r="C44" s="4"/>
      <c r="D44" s="3"/>
      <c r="E44" s="2"/>
      <c r="F44" s="3"/>
      <c r="G44" s="2"/>
      <c r="H44" s="3"/>
      <c r="I44" s="4"/>
      <c r="J44" s="2"/>
    </row>
    <row r="45" customFormat="false" ht="30" hidden="false" customHeight="true" outlineLevel="0" collapsed="false">
      <c r="A45" s="2"/>
      <c r="B45" s="3"/>
      <c r="C45" s="4"/>
      <c r="D45" s="3"/>
      <c r="E45" s="2"/>
      <c r="F45" s="3"/>
      <c r="G45" s="2"/>
      <c r="H45" s="3"/>
      <c r="I45" s="4"/>
      <c r="J45" s="2"/>
    </row>
  </sheetData>
  <autoFilter ref="A1:J45"/>
  <conditionalFormatting sqref="J2:J45">
    <cfRule type="cellIs" priority="2" operator="equal" aboveAverage="0" equalAverage="0" bottom="0" percent="0" rank="0" text="" dxfId="5">
      <formula>"Closed"</formula>
    </cfRule>
    <cfRule type="cellIs" priority="3" operator="equal" aboveAverage="0" equalAverage="0" bottom="0" percent="0" rank="0" text="" dxfId="6">
      <formula>"Open"</formula>
    </cfRule>
  </conditionalFormatting>
  <dataValidations count="3">
    <dataValidation allowBlank="true" errorStyle="stop" operator="between" showDropDown="false" showErrorMessage="false" showInputMessage="false" sqref="G2:G45" type="list">
      <formula1>"Functional,UI/UX,Performance,Security,Data/Database,Integration,Logic/Calculation,Compatibility,Documentation"</formula1>
      <formula2>0</formula2>
    </dataValidation>
    <dataValidation allowBlank="true" errorStyle="stop" operator="between" showDropDown="false" showErrorMessage="false" showInputMessage="false" sqref="J2:J45" type="list">
      <formula1>"Open,Closed"</formula1>
      <formula2>0</formula2>
    </dataValidation>
    <dataValidation allowBlank="true" errorStyle="stop" operator="between" showDropDown="false" showErrorMessage="false" showInputMessage="false" sqref="E2:E45" type="list">
      <formula1>"Sprint 1,Sprint 2,Sprint 3,Sprint 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5" t="s">
        <v>81</v>
      </c>
    </row>
    <row r="2" customFormat="false" ht="15" hidden="false" customHeight="false" outlineLevel="0" collapsed="false">
      <c r="A2" s="6" t="s">
        <v>82</v>
      </c>
    </row>
    <row r="4" customFormat="false" ht="15" hidden="false" customHeight="false" outlineLevel="0" collapsed="false">
      <c r="A4" s="7" t="s">
        <v>4</v>
      </c>
      <c r="B4" s="7" t="s">
        <v>83</v>
      </c>
      <c r="C4" s="7" t="s">
        <v>78</v>
      </c>
      <c r="D4" s="7" t="s">
        <v>14</v>
      </c>
      <c r="E4" s="7" t="s">
        <v>84</v>
      </c>
      <c r="F4" s="7" t="s">
        <v>85</v>
      </c>
    </row>
    <row r="5" customFormat="false" ht="15" hidden="false" customHeight="false" outlineLevel="0" collapsed="false">
      <c r="A5" s="8" t="s">
        <v>11</v>
      </c>
      <c r="B5" s="8" t="n">
        <f aca="false">COUNTIF('Defect Log'!$E$2:$E$45,A5)</f>
        <v>6</v>
      </c>
      <c r="C5" s="8" t="n">
        <f aca="false">COUNTIFS('Defect Log'!$E$2:$E$45,A5,'Defect Log'!$J$2:$J$45,"Open")</f>
        <v>0</v>
      </c>
      <c r="D5" s="8" t="n">
        <f aca="false">COUNTIFS('Defect Log'!$E$2:$E$45,A5,'Defect Log'!$J$2:$J$45,"Closed")</f>
        <v>6</v>
      </c>
      <c r="E5" s="9" t="n">
        <f aca="false">IF(B5=0,0,D5/B5)</f>
        <v>1</v>
      </c>
      <c r="F5" s="8" t="s">
        <v>86</v>
      </c>
    </row>
    <row r="6" customFormat="false" ht="15" hidden="false" customHeight="false" outlineLevel="0" collapsed="false">
      <c r="A6" s="8" t="s">
        <v>29</v>
      </c>
      <c r="B6" s="8" t="n">
        <f aca="false">COUNTIF('Defect Log'!$E$2:$E$45,A6)</f>
        <v>8</v>
      </c>
      <c r="C6" s="8" t="n">
        <f aca="false">COUNTIFS('Defect Log'!$E$2:$E$45,A6,'Defect Log'!$J$2:$J$45,"Open")</f>
        <v>0</v>
      </c>
      <c r="D6" s="8" t="n">
        <f aca="false">COUNTIFS('Defect Log'!$E$2:$E$45,A6,'Defect Log'!$J$2:$J$45,"Closed")</f>
        <v>8</v>
      </c>
      <c r="E6" s="9" t="n">
        <f aca="false">IF(B6=0,0,D6/B6)</f>
        <v>1</v>
      </c>
      <c r="F6" s="8" t="s">
        <v>87</v>
      </c>
    </row>
    <row r="7" customFormat="false" ht="15" hidden="false" customHeight="false" outlineLevel="0" collapsed="false">
      <c r="A7" s="8" t="s">
        <v>49</v>
      </c>
      <c r="B7" s="8" t="n">
        <f aca="false">COUNTIF('Defect Log'!$E$2:$E$45,A7)</f>
        <v>9</v>
      </c>
      <c r="C7" s="8" t="n">
        <f aca="false">COUNTIFS('Defect Log'!$E$2:$E$45,A7,'Defect Log'!$J$2:$J$45,"Open")</f>
        <v>0</v>
      </c>
      <c r="D7" s="8" t="n">
        <f aca="false">COUNTIFS('Defect Log'!$E$2:$E$45,A7,'Defect Log'!$J$2:$J$45,"Closed")</f>
        <v>9</v>
      </c>
      <c r="E7" s="9" t="n">
        <f aca="false">IF(B7=0,0,D7/B7)</f>
        <v>1</v>
      </c>
      <c r="F7" s="8" t="s">
        <v>88</v>
      </c>
    </row>
    <row r="8" customFormat="false" ht="15" hidden="false" customHeight="false" outlineLevel="0" collapsed="false">
      <c r="A8" s="8" t="s">
        <v>68</v>
      </c>
      <c r="B8" s="8" t="n">
        <f aca="false">COUNTIF('Defect Log'!$E$2:$E$45,A8)</f>
        <v>6</v>
      </c>
      <c r="C8" s="8" t="n">
        <f aca="false">COUNTIFS('Defect Log'!$E$2:$E$45,A8,'Defect Log'!$J$2:$J$45,"Open")</f>
        <v>2</v>
      </c>
      <c r="D8" s="8" t="n">
        <f aca="false">COUNTIFS('Defect Log'!$E$2:$E$45,A8,'Defect Log'!$J$2:$J$45,"Closed")</f>
        <v>4</v>
      </c>
      <c r="E8" s="9" t="n">
        <f aca="false">IF(B8=0,0,D8/B8)</f>
        <v>0.666666666666667</v>
      </c>
      <c r="F8" s="8" t="s">
        <v>89</v>
      </c>
    </row>
    <row r="9" customFormat="false" ht="15" hidden="false" customHeight="false" outlineLevel="0" collapsed="false">
      <c r="A9" s="10" t="s">
        <v>90</v>
      </c>
      <c r="B9" s="10" t="n">
        <f aca="false">SUM(B5:B8)</f>
        <v>29</v>
      </c>
      <c r="C9" s="10" t="n">
        <f aca="false">SUM(C5:C8)</f>
        <v>2</v>
      </c>
      <c r="D9" s="10" t="n">
        <f aca="false">SUM(D5:D8)</f>
        <v>27</v>
      </c>
      <c r="E9" s="11" t="n">
        <f aca="false">IF(B9=0,0,D9/B9)</f>
        <v>0.931034482758621</v>
      </c>
      <c r="F9" s="10"/>
    </row>
    <row r="11" customFormat="false" ht="15" hidden="false" customHeight="false" outlineLevel="0" collapsed="false">
      <c r="A11" s="12" t="s">
        <v>91</v>
      </c>
    </row>
    <row r="12" customFormat="false" ht="15" hidden="false" customHeight="false" outlineLevel="0" collapsed="false">
      <c r="A12" s="13" t="s">
        <v>6</v>
      </c>
      <c r="B12" s="13" t="s">
        <v>92</v>
      </c>
    </row>
    <row r="13" customFormat="false" ht="15" hidden="false" customHeight="false" outlineLevel="0" collapsed="false">
      <c r="A13" s="14" t="s">
        <v>22</v>
      </c>
      <c r="B13" s="15" t="n">
        <f aca="false">COUNTIF('Defect Log'!$G$2:$G$45,A13)</f>
        <v>8</v>
      </c>
    </row>
    <row r="14" customFormat="false" ht="15" hidden="false" customHeight="false" outlineLevel="0" collapsed="false">
      <c r="A14" s="14" t="s">
        <v>16</v>
      </c>
      <c r="B14" s="15" t="n">
        <f aca="false">COUNTIF('Defect Log'!$G$2:$G$45,A14)</f>
        <v>2</v>
      </c>
    </row>
    <row r="15" customFormat="false" ht="15" hidden="false" customHeight="false" outlineLevel="0" collapsed="false">
      <c r="A15" s="14" t="s">
        <v>34</v>
      </c>
      <c r="B15" s="15" t="n">
        <f aca="false">COUNTIF('Defect Log'!$G$2:$G$45,A15)</f>
        <v>2</v>
      </c>
    </row>
    <row r="16" customFormat="false" ht="15" hidden="false" customHeight="false" outlineLevel="0" collapsed="false">
      <c r="A16" s="14" t="s">
        <v>19</v>
      </c>
      <c r="B16" s="15" t="n">
        <f aca="false">COUNTIF('Defect Log'!$G$2:$G$45,A16)</f>
        <v>2</v>
      </c>
    </row>
    <row r="17" customFormat="false" ht="15" hidden="false" customHeight="false" outlineLevel="0" collapsed="false">
      <c r="A17" s="14" t="s">
        <v>12</v>
      </c>
      <c r="B17" s="15" t="n">
        <f aca="false">COUNTIF('Defect Log'!$G$2:$G$45,A17)</f>
        <v>6</v>
      </c>
    </row>
    <row r="18" customFormat="false" ht="15" hidden="false" customHeight="false" outlineLevel="0" collapsed="false">
      <c r="A18" s="14" t="s">
        <v>41</v>
      </c>
      <c r="B18" s="15" t="n">
        <f aca="false">COUNTIF('Defect Log'!$G$2:$G$45,A18)</f>
        <v>2</v>
      </c>
    </row>
    <row r="19" customFormat="false" ht="15" hidden="false" customHeight="false" outlineLevel="0" collapsed="false">
      <c r="A19" s="14" t="s">
        <v>44</v>
      </c>
      <c r="B19" s="15" t="n">
        <f aca="false">COUNTIF('Defect Log'!$G$2:$G$45,A19)</f>
        <v>5</v>
      </c>
    </row>
    <row r="20" customFormat="false" ht="15" hidden="false" customHeight="false" outlineLevel="0" collapsed="false">
      <c r="A20" s="14" t="s">
        <v>77</v>
      </c>
      <c r="B20" s="15" t="n">
        <f aca="false">COUNTIF('Defect Log'!$G$2:$G$45,A20)</f>
        <v>1</v>
      </c>
    </row>
    <row r="21" customFormat="false" ht="15" hidden="false" customHeight="false" outlineLevel="0" collapsed="false">
      <c r="A21" s="14" t="s">
        <v>80</v>
      </c>
      <c r="B21" s="15" t="n">
        <f aca="false">COUNTIF('Defect Log'!$G$2:$G$45,A21)</f>
        <v>1</v>
      </c>
    </row>
    <row r="23" customFormat="false" ht="15" hidden="false" customHeight="false" outlineLevel="0" collapsed="false">
      <c r="A23" s="12" t="s">
        <v>93</v>
      </c>
    </row>
    <row r="24" customFormat="false" ht="43.5" hidden="false" customHeight="true" outlineLevel="0" collapsed="false">
      <c r="A24" s="16" t="s">
        <v>94</v>
      </c>
      <c r="B24" s="16"/>
      <c r="C24" s="16"/>
      <c r="D24" s="16"/>
      <c r="E24" s="16"/>
      <c r="F24" s="16"/>
    </row>
    <row r="25" customFormat="false" ht="43.5" hidden="false" customHeight="true" outlineLevel="0" collapsed="false">
      <c r="A25" s="16" t="s">
        <v>95</v>
      </c>
      <c r="B25" s="16"/>
      <c r="C25" s="16"/>
      <c r="D25" s="16"/>
      <c r="E25" s="16"/>
      <c r="F25" s="16"/>
    </row>
    <row r="26" customFormat="false" ht="43.5" hidden="false" customHeight="true" outlineLevel="0" collapsed="false">
      <c r="A26" s="16" t="s">
        <v>96</v>
      </c>
      <c r="B26" s="16"/>
      <c r="C26" s="16"/>
      <c r="D26" s="16"/>
      <c r="E26" s="16"/>
      <c r="F26" s="16"/>
    </row>
    <row r="27" customFormat="false" ht="43.5" hidden="false" customHeight="true" outlineLevel="0" collapsed="false">
      <c r="A27" s="16" t="s">
        <v>97</v>
      </c>
      <c r="B27" s="16"/>
      <c r="C27" s="16"/>
      <c r="D27" s="16"/>
      <c r="E27" s="16"/>
      <c r="F27" s="16"/>
    </row>
    <row r="28" customFormat="false" ht="43.5" hidden="false" customHeight="true" outlineLevel="0" collapsed="false">
      <c r="A28" s="16" t="s">
        <v>98</v>
      </c>
      <c r="B28" s="16"/>
      <c r="C28" s="16"/>
      <c r="D28" s="16"/>
      <c r="E28" s="16"/>
      <c r="F28" s="16"/>
    </row>
  </sheetData>
  <mergeCells count="5">
    <mergeCell ref="A24:F24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2026-09-21T14:14:06Z</dcterms:created>
  <dc:creator>openpyxl</dc:creator>
  <dc:description/>
  <dc:language>en-US</dc:language>
  <cp:lastModifiedBy/>
  <dcterms:modified xsi:type="dcterms:W3CDTF">2026-09-21T14:14:06Z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