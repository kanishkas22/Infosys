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Sprint Plan &amp; Legend" sheetId="2" state="visible" r:id="rId4"/>
  </sheets>
  <definedNames>
    <definedName function="false" hidden="true" localSheetId="0" name="_xlnm._FilterDatabase" vbProcedure="false">'Product Backlog'!$A$1:$H$61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<sst xmlns="http://schemas.openxmlformats.org/spreadsheetml/2006/main" count="364" uniqueCount="183">
  <si>
    <t xml:space="preserve">Planned Sprint</t>
  </si>
  <si>
    <t xml:space="preserve">Actual Sprint</t>
  </si>
  <si>
    <t xml:space="preserve">US ID</t>
  </si>
  <si>
    <t xml:space="preserve">User Story Description</t>
  </si>
  <si>
    <t xml:space="preserve">MOSCOW</t>
  </si>
  <si>
    <t xml:space="preserve">Dependency</t>
  </si>
  <si>
    <t xml:space="preserve">Assignee</t>
  </si>
  <si>
    <t xml:space="preserve">Status</t>
  </si>
  <si>
    <t xml:space="preserve">Sprint 1</t>
  </si>
  <si>
    <t xml:space="preserve">US-01</t>
  </si>
  <si>
    <t xml:space="preserve">As a developer, I want a defined system architecture and SQLite database schema (candidates, sessions, events, scores, evidence, reports) so that every module works on one consistent data model.</t>
  </si>
  <si>
    <t xml:space="preserve">Must have</t>
  </si>
  <si>
    <t xml:space="preserve">-</t>
  </si>
  <si>
    <t xml:space="preserve">Not Started</t>
  </si>
  <si>
    <t xml:space="preserve">US-02</t>
  </si>
  <si>
    <t xml:space="preserve">As a developer, I want the Flask project structure set up (blueprints, config, virtual environment, requirements file) so that the team can build modules in parallel.</t>
  </si>
  <si>
    <t xml:space="preserve">US-03</t>
  </si>
  <si>
    <t xml:space="preserve">As a candidate, I want to register with my name, email and password so that I can be onboarded onto the examination platform.</t>
  </si>
  <si>
    <t xml:space="preserve">US-04</t>
  </si>
  <si>
    <t xml:space="preserve">As a candidate, I want to capture my photo through the webcam during registration (OpenCV) so that a profile photo is stored against my account.</t>
  </si>
  <si>
    <t xml:space="preserve">US-05</t>
  </si>
  <si>
    <t xml:space="preserve">As a candidate, I want to log in securely (hashed passwords, session tokens) so that only I can access my examination.</t>
  </si>
  <si>
    <t xml:space="preserve">US-06</t>
  </si>
  <si>
    <t xml:space="preserve">As a candidate, I want to start, pause and submit my examination session so that my attempt follows a proper lifecycle.</t>
  </si>
  <si>
    <t xml:space="preserve">US-07</t>
  </si>
  <si>
    <t xml:space="preserve">As an administrator, I want session states (Not Started, Active, Paused, Submitted) validated and stored so that invalid state changes are prevented.</t>
  </si>
  <si>
    <t xml:space="preserve">Should have</t>
  </si>
  <si>
    <t xml:space="preserve">US-08</t>
  </si>
  <si>
    <t xml:space="preserve">As an administrator, I want role-based access for candidate, invigilator and admin users so that each user only sees what they are permitted to.</t>
  </si>
  <si>
    <t xml:space="preserve">US-09</t>
  </si>
  <si>
    <t xml:space="preserve">As a developer, I want a synthetic session data generator (Python + Faker) producing candidates and event patterns of varied risk so that scoring and analytics can be built without real exam data.</t>
  </si>
  <si>
    <t xml:space="preserve">US-10</t>
  </si>
  <si>
    <t xml:space="preserve">As a QA tester, I want authentication and session-state workflows validated on sample candidate profiles so that Milestone 1 is verified before moving on.</t>
  </si>
  <si>
    <t xml:space="preserve">US-06, US-07, US-09</t>
  </si>
  <si>
    <t xml:space="preserve">Sprint 2</t>
  </si>
  <si>
    <t xml:space="preserve">US-11</t>
  </si>
  <si>
    <t xml:space="preserve">As an invigilator, I want the system to detect the candidate's face in webcam frames using OpenCV Haar Cascade so that I know the candidate is present during the exam.</t>
  </si>
  <si>
    <t xml:space="preserve">US-12</t>
  </si>
  <si>
    <t xml:space="preserve">As an invigilator, I want every face-absent interval logged with start time, end time and duration so that absences are recorded as evidence.</t>
  </si>
  <si>
    <t xml:space="preserve">US-13</t>
  </si>
  <si>
    <t xml:space="preserve">As a developer, I want face detection parameters (scaleFactor, minNeighbors, frame rate) tuned and tested under different lighting and camera angles so that false alerts are minimised.</t>
  </si>
  <si>
    <t xml:space="preserve">US-14</t>
  </si>
  <si>
    <t xml:space="preserve">As a candidate, I want an on-screen notice when my face is not detected or my webcam is blocked so that I can correct it before it is flagged.</t>
  </si>
  <si>
    <t xml:space="preserve">Could have</t>
  </si>
  <si>
    <t xml:space="preserve">US-15</t>
  </si>
  <si>
    <t xml:space="preserve">As an invigilator, I want tab-switch attempts and window focus-loss events detected in the browser so that I can see when a candidate leaves the exam window.</t>
  </si>
  <si>
    <t xml:space="preserve">US-16</t>
  </si>
  <si>
    <t xml:space="preserve">As a developer, I want all browser events sent to a Flask API and stored in SQLite with timestamps so that they can be analysed downstream.</t>
  </si>
  <si>
    <t xml:space="preserve">US-01, US-15</t>
  </si>
  <si>
    <t xml:space="preserve">US-17</t>
  </si>
  <si>
    <t xml:space="preserve">As an invigilator, I want key exam interactions (question navigation, answer changes, copy/paste attempts) logged so that I get a fuller picture of session behaviour.</t>
  </si>
  <si>
    <t xml:space="preserve">US-18</t>
  </si>
  <si>
    <t xml:space="preserve">As an invigilator, I want a rule-based engine to flag suspicious events on predefined thresholds (more than 3 tab switches, face absent over 2 minutes, excessive focus loss) so that I am alerted to integrity risks.</t>
  </si>
  <si>
    <t xml:space="preserve">US-12, US-16</t>
  </si>
  <si>
    <t xml:space="preserve">US-19</t>
  </si>
  <si>
    <t xml:space="preserve">As an administrator, I want detection thresholds to be configurable (config file or admin setting) so that rules can be adjusted per examination without code changes.</t>
  </si>
  <si>
    <t xml:space="preserve">US-20</t>
  </si>
  <si>
    <t xml:space="preserve">As an invigilator, I want each flagged event tagged with a severity (Low, Medium, High) so that I can prioritise what to review first.</t>
  </si>
  <si>
    <t xml:space="preserve">US-21</t>
  </si>
  <si>
    <t xml:space="preserve">As a QA tester, I want face detection reliability and event logging accuracy validated across varied test scenarios so that Milestone 2 is verified.</t>
  </si>
  <si>
    <t xml:space="preserve">US-13, US-17, US-18</t>
  </si>
  <si>
    <t xml:space="preserve">Sprint 3</t>
  </si>
  <si>
    <t xml:space="preserve">US-22</t>
  </si>
  <si>
    <t xml:space="preserve">As an invigilator, I want a per-session integrity score computed with Pandas from event frequency and severity weights so that sessions can be compared objectively.</t>
  </si>
  <si>
    <t xml:space="preserve">US-23</t>
  </si>
  <si>
    <t xml:space="preserve">As an invigilator, I want a face presence ratio (time present / total session time) calculated per session so that it feeds into the integrity score.</t>
  </si>
  <si>
    <t xml:space="preserve">US-24</t>
  </si>
  <si>
    <t xml:space="preserve">As an invigilator, I want the score normalised (0-100) and mapped to a risk label (Low / Medium / High) so that results are easy to read at a glance.</t>
  </si>
  <si>
    <t xml:space="preserve">US-22, US-23</t>
  </si>
  <si>
    <t xml:space="preserve">US-25</t>
  </si>
  <si>
    <t xml:space="preserve">As a QA tester, I want scoring consistency validated against the synthetic data corpus so that similar behaviour always produces similar scores and correct labels.</t>
  </si>
  <si>
    <t xml:space="preserve">US-09, US-24</t>
  </si>
  <si>
    <t xml:space="preserve">US-26</t>
  </si>
  <si>
    <t xml:space="preserve">As a data analyst, I want an integrity score distribution chart across all sessions (Matplotlib/Seaborn) so that I can understand how the cohort performed.</t>
  </si>
  <si>
    <t xml:space="preserve">US-27</t>
  </si>
  <si>
    <t xml:space="preserve">As a data analyst, I want event frequency heatmaps over time so that I can see when suspicious behaviour peaks during an exam.</t>
  </si>
  <si>
    <t xml:space="preserve">US-09, US-16</t>
  </si>
  <si>
    <t xml:space="preserve">US-28</t>
  </si>
  <si>
    <t xml:space="preserve">As a data analyst, I want candidate sessions clustered by behaviour pattern using K-Means (Scikit-learn) so that groups of similar sessions are identified.</t>
  </si>
  <si>
    <t xml:space="preserve">US-29</t>
  </si>
  <si>
    <t xml:space="preserve">As an administrator, I want cohort-level risk profiling (share of Low / Medium / High sessions, top event types) so that I can assess overall exam integrity.</t>
  </si>
  <si>
    <t xml:space="preserve">US-24, US-28</t>
  </si>
  <si>
    <t xml:space="preserve">US-30</t>
  </si>
  <si>
    <t xml:space="preserve">As a data analyst, I want clustering and analytics outputs validated (elbow method, silhouette score, sanity checks) so that insights are meaningful.</t>
  </si>
  <si>
    <t xml:space="preserve">US-26, US-27, US-28, US-29</t>
  </si>
  <si>
    <t xml:space="preserve">US-31</t>
  </si>
  <si>
    <t xml:space="preserve">As a developer, I want a LangChain agent connected to the session event log and integrity score so that it can read structured session data.</t>
  </si>
  <si>
    <t xml:space="preserve">US-32</t>
  </si>
  <si>
    <t xml:space="preserve">As an invigilator, I want a concise natural-language integrity summary generated automatically when a session is submitted so that I do not have to read raw logs.</t>
  </si>
  <si>
    <t xml:space="preserve">US-06, US-31</t>
  </si>
  <si>
    <t xml:space="preserve">US-33</t>
  </si>
  <si>
    <t xml:space="preserve">As a QA tester, I want the AI agent tested with Low, Medium and High risk session profiles so that summaries stay accurate across scenarios.</t>
  </si>
  <si>
    <t xml:space="preserve">US-34</t>
  </si>
  <si>
    <t xml:space="preserve">As an invigilator, I want agent summaries validated against the source data for clarity and accuracy (no invented facts) so that I can trust them during review.</t>
  </si>
  <si>
    <t xml:space="preserve">US-35</t>
  </si>
  <si>
    <t xml:space="preserve">As an invigilator, I want a screenshot captured and stored in SQLite whenever an event is flagged so that I have visual evidence to review.</t>
  </si>
  <si>
    <t xml:space="preserve">US-36</t>
  </si>
  <si>
    <t xml:space="preserve">As an invigilator, I want incident logs and session metadata stored with the evidence and retrievable per candidate session so that reviews are complete.</t>
  </si>
  <si>
    <t xml:space="preserve">US-37</t>
  </si>
  <si>
    <t xml:space="preserve">As an administrator, I want evidence access restricted to invigilator and admin roles so that candidate data stays secure.</t>
  </si>
  <si>
    <t xml:space="preserve">US-08, US-36</t>
  </si>
  <si>
    <t xml:space="preserve">Sprint 4</t>
  </si>
  <si>
    <t xml:space="preserve">US-38</t>
  </si>
  <si>
    <t xml:space="preserve">As an invigilator, I want a Streamlit dashboard showing live session status (active, paused, submitted) so that I can monitor all candidates in one place.</t>
  </si>
  <si>
    <t xml:space="preserve">US-06, US-16</t>
  </si>
  <si>
    <t xml:space="preserve">US-39</t>
  </si>
  <si>
    <t xml:space="preserve">As an invigilator, I want a real-time alerts panel on the dashboard so that I can react to flagged events as they happen.</t>
  </si>
  <si>
    <t xml:space="preserve">US-18, US-38</t>
  </si>
  <si>
    <t xml:space="preserve">US-40</t>
  </si>
  <si>
    <t xml:space="preserve">As an invigilator, I want to see integrity scores, risk labels and AI-generated summaries per session on the dashboard so that I can review candidates quickly.</t>
  </si>
  <si>
    <t xml:space="preserve">US-24, US-32, US-38</t>
  </si>
  <si>
    <t xml:space="preserve">US-41</t>
  </si>
  <si>
    <t xml:space="preserve">As an administrator, I want the Data Science charts (score distribution, heatmaps, clusters, risk profile) shown on the dashboard so that I get cohort insights without running scripts.</t>
  </si>
  <si>
    <t xml:space="preserve">US-26, US-27, US-28, US-29, US-38</t>
  </si>
  <si>
    <t xml:space="preserve">US-42</t>
  </si>
  <si>
    <t xml:space="preserve">As an invigilator, I want to view stored screenshots and incident logs for a session from the dashboard so that I can examine evidence in context.</t>
  </si>
  <si>
    <t xml:space="preserve">US-36, US-38</t>
  </si>
  <si>
    <t xml:space="preserve">US-43</t>
  </si>
  <si>
    <t xml:space="preserve">As an administrator, I want session logs, integrity scores and event summaries exported as JSON and CSV so that data can be shared or archived.</t>
  </si>
  <si>
    <t xml:space="preserve">US-44</t>
  </si>
  <si>
    <t xml:space="preserve">As an administrator, I want cluster assignments and AI-generated reports included in the exports so that all outputs are available in structured form.</t>
  </si>
  <si>
    <t xml:space="preserve">US-28, US-32, US-43</t>
  </si>
  <si>
    <t xml:space="preserve">US-45</t>
  </si>
  <si>
    <t xml:space="preserve">As a QA tester, I want end-to-end system testing (registration to report export) so that the complete workflow is verified.</t>
  </si>
  <si>
    <t xml:space="preserve">US-38, US-39, US-40, US-43</t>
  </si>
  <si>
    <t xml:space="preserve">US-46</t>
  </si>
  <si>
    <t xml:space="preserve">As a developer, I want performance tuning and final bug resolution so that the system runs smoothly during the demonstration.</t>
  </si>
  <si>
    <t xml:space="preserve">US-47</t>
  </si>
  <si>
    <t xml:space="preserve">As a project team, we want project documentation, a user manual and a technical report prepared so that the work can be handed over and evaluated.</t>
  </si>
  <si>
    <t xml:space="preserve">US-48</t>
  </si>
  <si>
    <t xml:space="preserve">As a project team, we want a final demonstration prepared and delivered so that the platform's outcomes are presented to evaluators.</t>
  </si>
  <si>
    <t xml:space="preserve">N/A</t>
  </si>
  <si>
    <t xml:space="preserve">US-49</t>
  </si>
  <si>
    <t xml:space="preserve">As an invigilator, I would like face recognition or liveness detection of candidates. (Out of scope: the project only requires face presence detection.)</t>
  </si>
  <si>
    <t xml:space="preserve">Won't have</t>
  </si>
  <si>
    <t xml:space="preserve">Out of Scope</t>
  </si>
  <si>
    <t xml:space="preserve">US-50</t>
  </si>
  <si>
    <t xml:space="preserve">As an administrator, I would like automated disciplinary actions against candidates. (Out of scope: the platform only provides evidence and summaries for invigilator review.)</t>
  </si>
  <si>
    <t xml:space="preserve">Online Exam Monitoring &amp; Integrity Analytics Platform: Sprint Plan</t>
  </si>
  <si>
    <t xml:space="preserve">Sprint-wise summary. Counts update automatically from the 'Product Backlog' sheet.</t>
  </si>
  <si>
    <t xml:space="preserve">Sprint</t>
  </si>
  <si>
    <t xml:space="preserve">Weeks</t>
  </si>
  <si>
    <t xml:space="preserve">Milestone</t>
  </si>
  <si>
    <t xml:space="preserve">Sprint Goal</t>
  </si>
  <si>
    <t xml:space="preserve">Planned Stories</t>
  </si>
  <si>
    <t xml:space="preserve">Must Have</t>
  </si>
  <si>
    <t xml:space="preserve">Done</t>
  </si>
  <si>
    <t xml:space="preserve">% Done</t>
  </si>
  <si>
    <t xml:space="preserve">Week 1-2</t>
  </si>
  <si>
    <t xml:space="preserve">Milestone 1</t>
  </si>
  <si>
    <t xml:space="preserve">Architecture and DB schema, Flask setup, candidate registration/login, OpenCV photo capture, session lifecycle, synthetic data generator</t>
  </si>
  <si>
    <t xml:space="preserve">Week 3-4</t>
  </si>
  <si>
    <t xml:space="preserve">Milestone 2</t>
  </si>
  <si>
    <t xml:space="preserve">Haar Cascade face presence monitoring, browser/tab-switch event logging, rule-based suspicious event engine</t>
  </si>
  <si>
    <t xml:space="preserve">Week 5-6</t>
  </si>
  <si>
    <t xml:space="preserve">Milestone 3 (and 4*)</t>
  </si>
  <si>
    <t xml:space="preserve">Integrity scoring, Data Science analytics, LangChain AI report agent, alert and evidence management</t>
  </si>
  <si>
    <t xml:space="preserve">Week 7-8</t>
  </si>
  <si>
    <t xml:space="preserve">Milestone 5</t>
  </si>
  <si>
    <t xml:space="preserve">Streamlit dashboard, JSON/CSV export, end-to-end testing, documentation and final demo</t>
  </si>
  <si>
    <t xml:space="preserve">Total</t>
  </si>
  <si>
    <t xml:space="preserve">MoSCoW Priority</t>
  </si>
  <si>
    <t xml:space="preserve">Critical for the project to be accepted; without it the sprint goal fails.</t>
  </si>
  <si>
    <t xml:space="preserve">Important and adds clear value, but the project still works without it.</t>
  </si>
  <si>
    <t xml:space="preserve">Nice to have; included only if time allows.</t>
  </si>
  <si>
    <t xml:space="preserve">Agreed out of scope for this project (kept for traceability).</t>
  </si>
  <si>
    <t xml:space="preserve">Status Values</t>
  </si>
  <si>
    <t xml:space="preserve">Story is in the backlog, work has not begun.</t>
  </si>
  <si>
    <t xml:space="preserve">In Progress</t>
  </si>
  <si>
    <t xml:space="preserve">Assignee is actively working on it.</t>
  </si>
  <si>
    <t xml:space="preserve">In Review</t>
  </si>
  <si>
    <t xml:space="preserve">Built and awaiting peer/mentor review or testing.</t>
  </si>
  <si>
    <t xml:space="preserve">Meets acceptance criteria and is reviewed.</t>
  </si>
  <si>
    <t xml:space="preserve">Blocked</t>
  </si>
  <si>
    <t xml:space="preserve">Cannot proceed; a dependency or issue must be resolved.</t>
  </si>
  <si>
    <t xml:space="preserve">Explicitly excluded (Won't have).</t>
  </si>
  <si>
    <t xml:space="preserve">How to use / Assumptions</t>
  </si>
  <si>
    <t xml:space="preserve">1. Columns to update as the project runs: Actual Sprint, Assignee, Status. Everything else is the agreed plan.</t>
  </si>
  <si>
    <t xml:space="preserve">2. Sprints are assumed to be 2 weeks each, matching the 8-week timeline in the project description.</t>
  </si>
  <si>
    <t xml:space="preserve">3. *The project description lists Milestones 1, 2, 3 and 5 (Milestone 4 is not named). The AI agent and evidence stories are listed under Milestone 3, so they are planned in Sprint 3.</t>
  </si>
  <si>
    <t xml:space="preserve">4. Sprint 3 is the heaviest sprint. If capacity is short, move 'Could have' and 'Should have' stories (US-30, US-34, US-37) to Sprint 4 and record the change in Actual Sprint.</t>
  </si>
  <si>
    <t xml:space="preserve">5. Dependency column lists the US IDs that must be completed (or at least started) before the story.</t>
  </si>
  <si>
    <t xml:space="preserve">6. Assignee is left blank so the team can allocate work during sprint planning.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</si>
</sst>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9BE8F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F9BE8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FFC7C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9BE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9"/>
    <col collapsed="false" customWidth="true" hidden="false" outlineLevel="0" max="4" min="4" style="0" width="10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5"/>
  </cols>
  <sheetData>
    <row r="1" customFormat="false" ht="69.75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49.5" hidden="false" customHeight="true" outlineLevel="0" collapsed="false">
      <c r="A2" s="3" t="s">
        <v>8</v>
      </c>
      <c r="B2" s="3"/>
      <c r="C2" s="3" t="s">
        <v>9</v>
      </c>
      <c r="D2" s="4" t="s">
        <v>10</v>
      </c>
      <c r="E2" s="3" t="s">
        <v>11</v>
      </c>
      <c r="F2" s="4" t="s">
        <v>12</v>
      </c>
      <c r="G2" s="3"/>
      <c r="H2" s="3" t="s">
        <v>13</v>
      </c>
    </row>
    <row r="3" customFormat="false" ht="36" hidden="false" customHeight="true" outlineLevel="0" collapsed="false">
      <c r="A3" s="3" t="s">
        <v>8</v>
      </c>
      <c r="B3" s="3"/>
      <c r="C3" s="3" t="s">
        <v>14</v>
      </c>
      <c r="D3" s="4" t="s">
        <v>15</v>
      </c>
      <c r="E3" s="3" t="s">
        <v>11</v>
      </c>
      <c r="F3" s="4" t="s">
        <v>9</v>
      </c>
      <c r="G3" s="3"/>
      <c r="H3" s="3" t="s">
        <v>13</v>
      </c>
    </row>
    <row r="4" customFormat="false" ht="36" hidden="false" customHeight="true" outlineLevel="0" collapsed="false">
      <c r="A4" s="3" t="s">
        <v>8</v>
      </c>
      <c r="B4" s="3"/>
      <c r="C4" s="3" t="s">
        <v>16</v>
      </c>
      <c r="D4" s="4" t="s">
        <v>17</v>
      </c>
      <c r="E4" s="3" t="s">
        <v>11</v>
      </c>
      <c r="F4" s="4" t="s">
        <v>14</v>
      </c>
      <c r="G4" s="3"/>
      <c r="H4" s="3" t="s">
        <v>13</v>
      </c>
    </row>
    <row r="5" customFormat="false" ht="36" hidden="false" customHeight="true" outlineLevel="0" collapsed="false">
      <c r="A5" s="3" t="s">
        <v>8</v>
      </c>
      <c r="B5" s="3"/>
      <c r="C5" s="3" t="s">
        <v>18</v>
      </c>
      <c r="D5" s="4" t="s">
        <v>19</v>
      </c>
      <c r="E5" s="3" t="s">
        <v>11</v>
      </c>
      <c r="F5" s="4" t="s">
        <v>16</v>
      </c>
      <c r="G5" s="3"/>
      <c r="H5" s="3" t="s">
        <v>13</v>
      </c>
    </row>
    <row r="6" customFormat="false" ht="36" hidden="false" customHeight="true" outlineLevel="0" collapsed="false">
      <c r="A6" s="3" t="s">
        <v>8</v>
      </c>
      <c r="B6" s="3"/>
      <c r="C6" s="3" t="s">
        <v>20</v>
      </c>
      <c r="D6" s="4" t="s">
        <v>21</v>
      </c>
      <c r="E6" s="3" t="s">
        <v>11</v>
      </c>
      <c r="F6" s="4" t="s">
        <v>16</v>
      </c>
      <c r="G6" s="3"/>
      <c r="H6" s="3" t="s">
        <v>13</v>
      </c>
    </row>
    <row r="7" customFormat="false" ht="36" hidden="false" customHeight="true" outlineLevel="0" collapsed="false">
      <c r="A7" s="3" t="s">
        <v>8</v>
      </c>
      <c r="B7" s="3"/>
      <c r="C7" s="3" t="s">
        <v>22</v>
      </c>
      <c r="D7" s="4" t="s">
        <v>23</v>
      </c>
      <c r="E7" s="3" t="s">
        <v>11</v>
      </c>
      <c r="F7" s="4" t="s">
        <v>20</v>
      </c>
      <c r="G7" s="3"/>
      <c r="H7" s="3" t="s">
        <v>13</v>
      </c>
    </row>
    <row r="8" customFormat="false" ht="36" hidden="false" customHeight="true" outlineLevel="0" collapsed="false">
      <c r="A8" s="3" t="s">
        <v>8</v>
      </c>
      <c r="B8" s="3"/>
      <c r="C8" s="3" t="s">
        <v>24</v>
      </c>
      <c r="D8" s="4" t="s">
        <v>25</v>
      </c>
      <c r="E8" s="3" t="s">
        <v>26</v>
      </c>
      <c r="F8" s="4" t="s">
        <v>22</v>
      </c>
      <c r="G8" s="3"/>
      <c r="H8" s="3" t="s">
        <v>13</v>
      </c>
    </row>
    <row r="9" customFormat="false" ht="36" hidden="false" customHeight="true" outlineLevel="0" collapsed="false">
      <c r="A9" s="3" t="s">
        <v>8</v>
      </c>
      <c r="B9" s="3"/>
      <c r="C9" s="3" t="s">
        <v>27</v>
      </c>
      <c r="D9" s="4" t="s">
        <v>28</v>
      </c>
      <c r="E9" s="3" t="s">
        <v>26</v>
      </c>
      <c r="F9" s="4" t="s">
        <v>20</v>
      </c>
      <c r="G9" s="3"/>
      <c r="H9" s="3" t="s">
        <v>13</v>
      </c>
    </row>
    <row r="10" customFormat="false" ht="49.5" hidden="false" customHeight="true" outlineLevel="0" collapsed="false">
      <c r="A10" s="3" t="s">
        <v>8</v>
      </c>
      <c r="B10" s="3"/>
      <c r="C10" s="3" t="s">
        <v>29</v>
      </c>
      <c r="D10" s="4" t="s">
        <v>30</v>
      </c>
      <c r="E10" s="3" t="s">
        <v>11</v>
      </c>
      <c r="F10" s="4" t="s">
        <v>9</v>
      </c>
      <c r="G10" s="3"/>
      <c r="H10" s="3" t="s">
        <v>13</v>
      </c>
    </row>
    <row r="11" customFormat="false" ht="36" hidden="false" customHeight="true" outlineLevel="0" collapsed="false">
      <c r="A11" s="3" t="s">
        <v>8</v>
      </c>
      <c r="B11" s="3"/>
      <c r="C11" s="3" t="s">
        <v>31</v>
      </c>
      <c r="D11" s="4" t="s">
        <v>32</v>
      </c>
      <c r="E11" s="3" t="s">
        <v>26</v>
      </c>
      <c r="F11" s="4" t="s">
        <v>33</v>
      </c>
      <c r="G11" s="3"/>
      <c r="H11" s="3" t="s">
        <v>13</v>
      </c>
    </row>
    <row r="12" customFormat="false" ht="36" hidden="false" customHeight="true" outlineLevel="0" collapsed="false">
      <c r="A12" s="3" t="s">
        <v>34</v>
      </c>
      <c r="B12" s="3"/>
      <c r="C12" s="3" t="s">
        <v>35</v>
      </c>
      <c r="D12" s="4" t="s">
        <v>36</v>
      </c>
      <c r="E12" s="3" t="s">
        <v>11</v>
      </c>
      <c r="F12" s="4" t="s">
        <v>22</v>
      </c>
      <c r="G12" s="3"/>
      <c r="H12" s="3" t="s">
        <v>13</v>
      </c>
    </row>
    <row r="13" customFormat="false" ht="36" hidden="false" customHeight="true" outlineLevel="0" collapsed="false">
      <c r="A13" s="3" t="s">
        <v>34</v>
      </c>
      <c r="B13" s="3"/>
      <c r="C13" s="3" t="s">
        <v>37</v>
      </c>
      <c r="D13" s="4" t="s">
        <v>38</v>
      </c>
      <c r="E13" s="3" t="s">
        <v>11</v>
      </c>
      <c r="F13" s="4" t="s">
        <v>35</v>
      </c>
      <c r="G13" s="3"/>
      <c r="H13" s="3" t="s">
        <v>13</v>
      </c>
    </row>
    <row r="14" customFormat="false" ht="36" hidden="false" customHeight="true" outlineLevel="0" collapsed="false">
      <c r="A14" s="3" t="s">
        <v>34</v>
      </c>
      <c r="B14" s="3"/>
      <c r="C14" s="3" t="s">
        <v>39</v>
      </c>
      <c r="D14" s="4" t="s">
        <v>40</v>
      </c>
      <c r="E14" s="3" t="s">
        <v>26</v>
      </c>
      <c r="F14" s="4" t="s">
        <v>35</v>
      </c>
      <c r="G14" s="3"/>
      <c r="H14" s="3" t="s">
        <v>13</v>
      </c>
    </row>
    <row r="15" customFormat="false" ht="36" hidden="false" customHeight="true" outlineLevel="0" collapsed="false">
      <c r="A15" s="3" t="s">
        <v>34</v>
      </c>
      <c r="B15" s="3"/>
      <c r="C15" s="3" t="s">
        <v>41</v>
      </c>
      <c r="D15" s="4" t="s">
        <v>42</v>
      </c>
      <c r="E15" s="3" t="s">
        <v>43</v>
      </c>
      <c r="F15" s="4" t="s">
        <v>35</v>
      </c>
      <c r="G15" s="3"/>
      <c r="H15" s="3" t="s">
        <v>13</v>
      </c>
    </row>
    <row r="16" customFormat="false" ht="36" hidden="false" customHeight="true" outlineLevel="0" collapsed="false">
      <c r="A16" s="3" t="s">
        <v>34</v>
      </c>
      <c r="B16" s="3"/>
      <c r="C16" s="3" t="s">
        <v>44</v>
      </c>
      <c r="D16" s="4" t="s">
        <v>45</v>
      </c>
      <c r="E16" s="3" t="s">
        <v>11</v>
      </c>
      <c r="F16" s="4" t="s">
        <v>22</v>
      </c>
      <c r="G16" s="3"/>
      <c r="H16" s="3" t="s">
        <v>13</v>
      </c>
    </row>
    <row r="17" customFormat="false" ht="36" hidden="false" customHeight="true" outlineLevel="0" collapsed="false">
      <c r="A17" s="3" t="s">
        <v>34</v>
      </c>
      <c r="B17" s="3"/>
      <c r="C17" s="3" t="s">
        <v>46</v>
      </c>
      <c r="D17" s="4" t="s">
        <v>47</v>
      </c>
      <c r="E17" s="3" t="s">
        <v>11</v>
      </c>
      <c r="F17" s="4" t="s">
        <v>48</v>
      </c>
      <c r="G17" s="3"/>
      <c r="H17" s="3" t="s">
        <v>13</v>
      </c>
    </row>
    <row r="18" customFormat="false" ht="36" hidden="false" customHeight="true" outlineLevel="0" collapsed="false">
      <c r="A18" s="3" t="s">
        <v>34</v>
      </c>
      <c r="B18" s="3"/>
      <c r="C18" s="3" t="s">
        <v>49</v>
      </c>
      <c r="D18" s="4" t="s">
        <v>50</v>
      </c>
      <c r="E18" s="3" t="s">
        <v>26</v>
      </c>
      <c r="F18" s="4" t="s">
        <v>46</v>
      </c>
      <c r="G18" s="3"/>
      <c r="H18" s="3" t="s">
        <v>13</v>
      </c>
    </row>
    <row r="19" customFormat="false" ht="49.5" hidden="false" customHeight="true" outlineLevel="0" collapsed="false">
      <c r="A19" s="3" t="s">
        <v>34</v>
      </c>
      <c r="B19" s="3"/>
      <c r="C19" s="3" t="s">
        <v>51</v>
      </c>
      <c r="D19" s="4" t="s">
        <v>52</v>
      </c>
      <c r="E19" s="3" t="s">
        <v>11</v>
      </c>
      <c r="F19" s="4" t="s">
        <v>53</v>
      </c>
      <c r="G19" s="3"/>
      <c r="H19" s="3" t="s">
        <v>13</v>
      </c>
    </row>
    <row r="20" customFormat="false" ht="36" hidden="false" customHeight="true" outlineLevel="0" collapsed="false">
      <c r="A20" s="3" t="s">
        <v>34</v>
      </c>
      <c r="B20" s="3"/>
      <c r="C20" s="3" t="s">
        <v>54</v>
      </c>
      <c r="D20" s="4" t="s">
        <v>55</v>
      </c>
      <c r="E20" s="3" t="s">
        <v>26</v>
      </c>
      <c r="F20" s="4" t="s">
        <v>51</v>
      </c>
      <c r="G20" s="3"/>
      <c r="H20" s="3" t="s">
        <v>13</v>
      </c>
    </row>
    <row r="21" customFormat="false" ht="36" hidden="false" customHeight="true" outlineLevel="0" collapsed="false">
      <c r="A21" s="3" t="s">
        <v>34</v>
      </c>
      <c r="B21" s="3"/>
      <c r="C21" s="3" t="s">
        <v>56</v>
      </c>
      <c r="D21" s="4" t="s">
        <v>57</v>
      </c>
      <c r="E21" s="3" t="s">
        <v>26</v>
      </c>
      <c r="F21" s="4" t="s">
        <v>51</v>
      </c>
      <c r="G21" s="3"/>
      <c r="H21" s="3" t="s">
        <v>13</v>
      </c>
    </row>
    <row r="22" customFormat="false" ht="36" hidden="false" customHeight="true" outlineLevel="0" collapsed="false">
      <c r="A22" s="3" t="s">
        <v>34</v>
      </c>
      <c r="B22" s="3"/>
      <c r="C22" s="3" t="s">
        <v>58</v>
      </c>
      <c r="D22" s="4" t="s">
        <v>59</v>
      </c>
      <c r="E22" s="3" t="s">
        <v>26</v>
      </c>
      <c r="F22" s="4" t="s">
        <v>60</v>
      </c>
      <c r="G22" s="3"/>
      <c r="H22" s="3" t="s">
        <v>13</v>
      </c>
    </row>
    <row r="23" customFormat="false" ht="36" hidden="false" customHeight="true" outlineLevel="0" collapsed="false">
      <c r="A23" s="3" t="s">
        <v>61</v>
      </c>
      <c r="B23" s="3"/>
      <c r="C23" s="3" t="s">
        <v>62</v>
      </c>
      <c r="D23" s="4" t="s">
        <v>63</v>
      </c>
      <c r="E23" s="3" t="s">
        <v>11</v>
      </c>
      <c r="F23" s="4" t="s">
        <v>56</v>
      </c>
      <c r="G23" s="3"/>
      <c r="H23" s="3" t="s">
        <v>13</v>
      </c>
    </row>
    <row r="24" customFormat="false" ht="36" hidden="false" customHeight="true" outlineLevel="0" collapsed="false">
      <c r="A24" s="3" t="s">
        <v>61</v>
      </c>
      <c r="B24" s="3"/>
      <c r="C24" s="3" t="s">
        <v>64</v>
      </c>
      <c r="D24" s="4" t="s">
        <v>65</v>
      </c>
      <c r="E24" s="3" t="s">
        <v>11</v>
      </c>
      <c r="F24" s="4" t="s">
        <v>37</v>
      </c>
      <c r="G24" s="3"/>
      <c r="H24" s="3" t="s">
        <v>13</v>
      </c>
    </row>
    <row r="25" customFormat="false" ht="36" hidden="false" customHeight="true" outlineLevel="0" collapsed="false">
      <c r="A25" s="3" t="s">
        <v>61</v>
      </c>
      <c r="B25" s="3"/>
      <c r="C25" s="3" t="s">
        <v>66</v>
      </c>
      <c r="D25" s="4" t="s">
        <v>67</v>
      </c>
      <c r="E25" s="3" t="s">
        <v>11</v>
      </c>
      <c r="F25" s="4" t="s">
        <v>68</v>
      </c>
      <c r="G25" s="3"/>
      <c r="H25" s="3" t="s">
        <v>13</v>
      </c>
    </row>
    <row r="26" customFormat="false" ht="36" hidden="false" customHeight="true" outlineLevel="0" collapsed="false">
      <c r="A26" s="3" t="s">
        <v>61</v>
      </c>
      <c r="B26" s="3"/>
      <c r="C26" s="3" t="s">
        <v>69</v>
      </c>
      <c r="D26" s="4" t="s">
        <v>70</v>
      </c>
      <c r="E26" s="3" t="s">
        <v>26</v>
      </c>
      <c r="F26" s="4" t="s">
        <v>71</v>
      </c>
      <c r="G26" s="3"/>
      <c r="H26" s="3" t="s">
        <v>13</v>
      </c>
    </row>
    <row r="27" customFormat="false" ht="36" hidden="false" customHeight="true" outlineLevel="0" collapsed="false">
      <c r="A27" s="3" t="s">
        <v>61</v>
      </c>
      <c r="B27" s="3"/>
      <c r="C27" s="3" t="s">
        <v>72</v>
      </c>
      <c r="D27" s="4" t="s">
        <v>73</v>
      </c>
      <c r="E27" s="3" t="s">
        <v>11</v>
      </c>
      <c r="F27" s="4" t="s">
        <v>71</v>
      </c>
      <c r="G27" s="3"/>
      <c r="H27" s="3" t="s">
        <v>13</v>
      </c>
    </row>
    <row r="28" customFormat="false" ht="36" hidden="false" customHeight="true" outlineLevel="0" collapsed="false">
      <c r="A28" s="3" t="s">
        <v>61</v>
      </c>
      <c r="B28" s="3"/>
      <c r="C28" s="3" t="s">
        <v>74</v>
      </c>
      <c r="D28" s="4" t="s">
        <v>75</v>
      </c>
      <c r="E28" s="3" t="s">
        <v>11</v>
      </c>
      <c r="F28" s="4" t="s">
        <v>76</v>
      </c>
      <c r="G28" s="3"/>
      <c r="H28" s="3" t="s">
        <v>13</v>
      </c>
    </row>
    <row r="29" customFormat="false" ht="36" hidden="false" customHeight="true" outlineLevel="0" collapsed="false">
      <c r="A29" s="3" t="s">
        <v>61</v>
      </c>
      <c r="B29" s="3"/>
      <c r="C29" s="3" t="s">
        <v>77</v>
      </c>
      <c r="D29" s="4" t="s">
        <v>78</v>
      </c>
      <c r="E29" s="3" t="s">
        <v>11</v>
      </c>
      <c r="F29" s="4" t="s">
        <v>66</v>
      </c>
      <c r="G29" s="3"/>
      <c r="H29" s="3" t="s">
        <v>13</v>
      </c>
    </row>
    <row r="30" customFormat="false" ht="36" hidden="false" customHeight="true" outlineLevel="0" collapsed="false">
      <c r="A30" s="3" t="s">
        <v>61</v>
      </c>
      <c r="B30" s="3"/>
      <c r="C30" s="3" t="s">
        <v>79</v>
      </c>
      <c r="D30" s="4" t="s">
        <v>80</v>
      </c>
      <c r="E30" s="3" t="s">
        <v>26</v>
      </c>
      <c r="F30" s="4" t="s">
        <v>81</v>
      </c>
      <c r="G30" s="3"/>
      <c r="H30" s="3" t="s">
        <v>13</v>
      </c>
    </row>
    <row r="31" customFormat="false" ht="36" hidden="false" customHeight="true" outlineLevel="0" collapsed="false">
      <c r="A31" s="3" t="s">
        <v>61</v>
      </c>
      <c r="B31" s="3"/>
      <c r="C31" s="3" t="s">
        <v>82</v>
      </c>
      <c r="D31" s="4" t="s">
        <v>83</v>
      </c>
      <c r="E31" s="3" t="s">
        <v>43</v>
      </c>
      <c r="F31" s="4" t="s">
        <v>84</v>
      </c>
      <c r="G31" s="3"/>
      <c r="H31" s="3" t="s">
        <v>13</v>
      </c>
    </row>
    <row r="32" customFormat="false" ht="36" hidden="false" customHeight="true" outlineLevel="0" collapsed="false">
      <c r="A32" s="3" t="s">
        <v>61</v>
      </c>
      <c r="B32" s="3"/>
      <c r="C32" s="3" t="s">
        <v>85</v>
      </c>
      <c r="D32" s="4" t="s">
        <v>86</v>
      </c>
      <c r="E32" s="3" t="s">
        <v>11</v>
      </c>
      <c r="F32" s="4" t="s">
        <v>66</v>
      </c>
      <c r="G32" s="3"/>
      <c r="H32" s="3" t="s">
        <v>13</v>
      </c>
    </row>
    <row r="33" customFormat="false" ht="36" hidden="false" customHeight="true" outlineLevel="0" collapsed="false">
      <c r="A33" s="3" t="s">
        <v>61</v>
      </c>
      <c r="B33" s="3"/>
      <c r="C33" s="3" t="s">
        <v>87</v>
      </c>
      <c r="D33" s="4" t="s">
        <v>88</v>
      </c>
      <c r="E33" s="3" t="s">
        <v>11</v>
      </c>
      <c r="F33" s="4" t="s">
        <v>89</v>
      </c>
      <c r="G33" s="3"/>
      <c r="H33" s="3" t="s">
        <v>13</v>
      </c>
    </row>
    <row r="34" customFormat="false" ht="36" hidden="false" customHeight="true" outlineLevel="0" collapsed="false">
      <c r="A34" s="3" t="s">
        <v>61</v>
      </c>
      <c r="B34" s="3"/>
      <c r="C34" s="3" t="s">
        <v>90</v>
      </c>
      <c r="D34" s="4" t="s">
        <v>91</v>
      </c>
      <c r="E34" s="3" t="s">
        <v>26</v>
      </c>
      <c r="F34" s="4" t="s">
        <v>87</v>
      </c>
      <c r="G34" s="3"/>
      <c r="H34" s="3" t="s">
        <v>13</v>
      </c>
    </row>
    <row r="35" customFormat="false" ht="36" hidden="false" customHeight="true" outlineLevel="0" collapsed="false">
      <c r="A35" s="3" t="s">
        <v>61</v>
      </c>
      <c r="B35" s="3"/>
      <c r="C35" s="3" t="s">
        <v>92</v>
      </c>
      <c r="D35" s="4" t="s">
        <v>93</v>
      </c>
      <c r="E35" s="3" t="s">
        <v>26</v>
      </c>
      <c r="F35" s="4" t="s">
        <v>90</v>
      </c>
      <c r="G35" s="3"/>
      <c r="H35" s="3" t="s">
        <v>13</v>
      </c>
    </row>
    <row r="36" customFormat="false" ht="36" hidden="false" customHeight="true" outlineLevel="0" collapsed="false">
      <c r="A36" s="3" t="s">
        <v>61</v>
      </c>
      <c r="B36" s="3"/>
      <c r="C36" s="3" t="s">
        <v>94</v>
      </c>
      <c r="D36" s="4" t="s">
        <v>95</v>
      </c>
      <c r="E36" s="3" t="s">
        <v>11</v>
      </c>
      <c r="F36" s="4" t="s">
        <v>51</v>
      </c>
      <c r="G36" s="3"/>
      <c r="H36" s="3" t="s">
        <v>13</v>
      </c>
    </row>
    <row r="37" customFormat="false" ht="36" hidden="false" customHeight="true" outlineLevel="0" collapsed="false">
      <c r="A37" s="3" t="s">
        <v>61</v>
      </c>
      <c r="B37" s="3"/>
      <c r="C37" s="3" t="s">
        <v>96</v>
      </c>
      <c r="D37" s="4" t="s">
        <v>97</v>
      </c>
      <c r="E37" s="3" t="s">
        <v>11</v>
      </c>
      <c r="F37" s="4" t="s">
        <v>94</v>
      </c>
      <c r="G37" s="3"/>
      <c r="H37" s="3" t="s">
        <v>13</v>
      </c>
    </row>
    <row r="38" customFormat="false" ht="36" hidden="false" customHeight="true" outlineLevel="0" collapsed="false">
      <c r="A38" s="3" t="s">
        <v>61</v>
      </c>
      <c r="B38" s="3"/>
      <c r="C38" s="3" t="s">
        <v>98</v>
      </c>
      <c r="D38" s="4" t="s">
        <v>99</v>
      </c>
      <c r="E38" s="3" t="s">
        <v>26</v>
      </c>
      <c r="F38" s="4" t="s">
        <v>100</v>
      </c>
      <c r="G38" s="3"/>
      <c r="H38" s="3" t="s">
        <v>13</v>
      </c>
    </row>
    <row r="39" customFormat="false" ht="36" hidden="false" customHeight="true" outlineLevel="0" collapsed="false">
      <c r="A39" s="3" t="s">
        <v>101</v>
      </c>
      <c r="B39" s="3"/>
      <c r="C39" s="3" t="s">
        <v>102</v>
      </c>
      <c r="D39" s="4" t="s">
        <v>103</v>
      </c>
      <c r="E39" s="3" t="s">
        <v>11</v>
      </c>
      <c r="F39" s="4" t="s">
        <v>104</v>
      </c>
      <c r="G39" s="3"/>
      <c r="H39" s="3" t="s">
        <v>13</v>
      </c>
    </row>
    <row r="40" customFormat="false" ht="36" hidden="false" customHeight="true" outlineLevel="0" collapsed="false">
      <c r="A40" s="3" t="s">
        <v>101</v>
      </c>
      <c r="B40" s="3"/>
      <c r="C40" s="3" t="s">
        <v>105</v>
      </c>
      <c r="D40" s="4" t="s">
        <v>106</v>
      </c>
      <c r="E40" s="3" t="s">
        <v>11</v>
      </c>
      <c r="F40" s="4" t="s">
        <v>107</v>
      </c>
      <c r="G40" s="3"/>
      <c r="H40" s="3" t="s">
        <v>13</v>
      </c>
    </row>
    <row r="41" customFormat="false" ht="36" hidden="false" customHeight="true" outlineLevel="0" collapsed="false">
      <c r="A41" s="3" t="s">
        <v>101</v>
      </c>
      <c r="B41" s="3"/>
      <c r="C41" s="3" t="s">
        <v>108</v>
      </c>
      <c r="D41" s="4" t="s">
        <v>109</v>
      </c>
      <c r="E41" s="3" t="s">
        <v>11</v>
      </c>
      <c r="F41" s="4" t="s">
        <v>110</v>
      </c>
      <c r="G41" s="3"/>
      <c r="H41" s="3" t="s">
        <v>13</v>
      </c>
    </row>
    <row r="42" customFormat="false" ht="36" hidden="false" customHeight="true" outlineLevel="0" collapsed="false">
      <c r="A42" s="3" t="s">
        <v>101</v>
      </c>
      <c r="B42" s="3"/>
      <c r="C42" s="3" t="s">
        <v>111</v>
      </c>
      <c r="D42" s="4" t="s">
        <v>112</v>
      </c>
      <c r="E42" s="3" t="s">
        <v>26</v>
      </c>
      <c r="F42" s="4" t="s">
        <v>113</v>
      </c>
      <c r="G42" s="3"/>
      <c r="H42" s="3" t="s">
        <v>13</v>
      </c>
    </row>
    <row r="43" customFormat="false" ht="36" hidden="false" customHeight="true" outlineLevel="0" collapsed="false">
      <c r="A43" s="3" t="s">
        <v>101</v>
      </c>
      <c r="B43" s="3"/>
      <c r="C43" s="3" t="s">
        <v>114</v>
      </c>
      <c r="D43" s="4" t="s">
        <v>115</v>
      </c>
      <c r="E43" s="3" t="s">
        <v>26</v>
      </c>
      <c r="F43" s="4" t="s">
        <v>116</v>
      </c>
      <c r="G43" s="3"/>
      <c r="H43" s="3" t="s">
        <v>13</v>
      </c>
    </row>
    <row r="44" customFormat="false" ht="36" hidden="false" customHeight="true" outlineLevel="0" collapsed="false">
      <c r="A44" s="3" t="s">
        <v>101</v>
      </c>
      <c r="B44" s="3"/>
      <c r="C44" s="3" t="s">
        <v>117</v>
      </c>
      <c r="D44" s="4" t="s">
        <v>118</v>
      </c>
      <c r="E44" s="3" t="s">
        <v>11</v>
      </c>
      <c r="F44" s="4" t="s">
        <v>66</v>
      </c>
      <c r="G44" s="3"/>
      <c r="H44" s="3" t="s">
        <v>13</v>
      </c>
    </row>
    <row r="45" customFormat="false" ht="36" hidden="false" customHeight="true" outlineLevel="0" collapsed="false">
      <c r="A45" s="3" t="s">
        <v>101</v>
      </c>
      <c r="B45" s="3"/>
      <c r="C45" s="3" t="s">
        <v>119</v>
      </c>
      <c r="D45" s="4" t="s">
        <v>120</v>
      </c>
      <c r="E45" s="3" t="s">
        <v>26</v>
      </c>
      <c r="F45" s="4" t="s">
        <v>121</v>
      </c>
      <c r="G45" s="3"/>
      <c r="H45" s="3" t="s">
        <v>13</v>
      </c>
    </row>
    <row r="46" customFormat="false" ht="36" hidden="false" customHeight="true" outlineLevel="0" collapsed="false">
      <c r="A46" s="3" t="s">
        <v>101</v>
      </c>
      <c r="B46" s="3"/>
      <c r="C46" s="3" t="s">
        <v>122</v>
      </c>
      <c r="D46" s="4" t="s">
        <v>123</v>
      </c>
      <c r="E46" s="3" t="s">
        <v>11</v>
      </c>
      <c r="F46" s="4" t="s">
        <v>124</v>
      </c>
      <c r="G46" s="3"/>
      <c r="H46" s="3" t="s">
        <v>13</v>
      </c>
    </row>
    <row r="47" customFormat="false" ht="36" hidden="false" customHeight="true" outlineLevel="0" collapsed="false">
      <c r="A47" s="3" t="s">
        <v>101</v>
      </c>
      <c r="B47" s="3"/>
      <c r="C47" s="3" t="s">
        <v>125</v>
      </c>
      <c r="D47" s="4" t="s">
        <v>126</v>
      </c>
      <c r="E47" s="3" t="s">
        <v>26</v>
      </c>
      <c r="F47" s="4" t="s">
        <v>122</v>
      </c>
      <c r="G47" s="3"/>
      <c r="H47" s="3" t="s">
        <v>13</v>
      </c>
    </row>
    <row r="48" customFormat="false" ht="36" hidden="false" customHeight="true" outlineLevel="0" collapsed="false">
      <c r="A48" s="3" t="s">
        <v>101</v>
      </c>
      <c r="B48" s="3"/>
      <c r="C48" s="3" t="s">
        <v>127</v>
      </c>
      <c r="D48" s="4" t="s">
        <v>128</v>
      </c>
      <c r="E48" s="3" t="s">
        <v>11</v>
      </c>
      <c r="F48" s="4" t="s">
        <v>122</v>
      </c>
      <c r="G48" s="3"/>
      <c r="H48" s="3" t="s">
        <v>13</v>
      </c>
    </row>
    <row r="49" customFormat="false" ht="36" hidden="false" customHeight="true" outlineLevel="0" collapsed="false">
      <c r="A49" s="3" t="s">
        <v>101</v>
      </c>
      <c r="B49" s="3"/>
      <c r="C49" s="3" t="s">
        <v>129</v>
      </c>
      <c r="D49" s="4" t="s">
        <v>130</v>
      </c>
      <c r="E49" s="3" t="s">
        <v>11</v>
      </c>
      <c r="F49" s="4" t="s">
        <v>127</v>
      </c>
      <c r="G49" s="3"/>
      <c r="H49" s="3" t="s">
        <v>13</v>
      </c>
    </row>
    <row r="50" customFormat="false" ht="36" hidden="false" customHeight="true" outlineLevel="0" collapsed="false">
      <c r="A50" s="3" t="s">
        <v>131</v>
      </c>
      <c r="B50" s="3"/>
      <c r="C50" s="3" t="s">
        <v>132</v>
      </c>
      <c r="D50" s="4" t="s">
        <v>133</v>
      </c>
      <c r="E50" s="3" t="s">
        <v>134</v>
      </c>
      <c r="F50" s="4" t="s">
        <v>12</v>
      </c>
      <c r="G50" s="3"/>
      <c r="H50" s="3" t="s">
        <v>135</v>
      </c>
    </row>
    <row r="51" customFormat="false" ht="36" hidden="false" customHeight="true" outlineLevel="0" collapsed="false">
      <c r="A51" s="3" t="s">
        <v>131</v>
      </c>
      <c r="B51" s="3"/>
      <c r="C51" s="3" t="s">
        <v>136</v>
      </c>
      <c r="D51" s="4" t="s">
        <v>137</v>
      </c>
      <c r="E51" s="3" t="s">
        <v>134</v>
      </c>
      <c r="F51" s="4" t="s">
        <v>12</v>
      </c>
      <c r="G51" s="3"/>
      <c r="H51" s="3" t="s">
        <v>135</v>
      </c>
    </row>
    <row r="52" customFormat="false" ht="30" hidden="false" customHeight="true" outlineLevel="0" collapsed="false">
      <c r="A52" s="3"/>
      <c r="B52" s="3"/>
      <c r="C52" s="3"/>
      <c r="D52" s="4"/>
      <c r="E52" s="3"/>
      <c r="F52" s="4"/>
      <c r="G52" s="3"/>
      <c r="H52" s="3"/>
    </row>
    <row r="53" customFormat="false" ht="30" hidden="false" customHeight="true" outlineLevel="0" collapsed="false">
      <c r="A53" s="3"/>
      <c r="B53" s="3"/>
      <c r="C53" s="3"/>
      <c r="D53" s="4"/>
      <c r="E53" s="3"/>
      <c r="F53" s="4"/>
      <c r="G53" s="3"/>
      <c r="H53" s="3"/>
    </row>
    <row r="54" customFormat="false" ht="30" hidden="false" customHeight="true" outlineLevel="0" collapsed="false">
      <c r="A54" s="3"/>
      <c r="B54" s="3"/>
      <c r="C54" s="3"/>
      <c r="D54" s="4"/>
      <c r="E54" s="3"/>
      <c r="F54" s="4"/>
      <c r="G54" s="3"/>
      <c r="H54" s="3"/>
    </row>
    <row r="55" customFormat="false" ht="30" hidden="false" customHeight="true" outlineLevel="0" collapsed="false">
      <c r="A55" s="3"/>
      <c r="B55" s="3"/>
      <c r="C55" s="3"/>
      <c r="D55" s="4"/>
      <c r="E55" s="3"/>
      <c r="F55" s="4"/>
      <c r="G55" s="3"/>
      <c r="H55" s="3"/>
    </row>
    <row r="56" customFormat="false" ht="30" hidden="false" customHeight="true" outlineLevel="0" collapsed="false">
      <c r="A56" s="3"/>
      <c r="B56" s="3"/>
      <c r="C56" s="3"/>
      <c r="D56" s="4"/>
      <c r="E56" s="3"/>
      <c r="F56" s="4"/>
      <c r="G56" s="3"/>
      <c r="H56" s="3"/>
    </row>
    <row r="57" customFormat="false" ht="30" hidden="false" customHeight="true" outlineLevel="0" collapsed="false">
      <c r="A57" s="3"/>
      <c r="B57" s="3"/>
      <c r="C57" s="3"/>
      <c r="D57" s="4"/>
      <c r="E57" s="3"/>
      <c r="F57" s="4"/>
      <c r="G57" s="3"/>
      <c r="H57" s="3"/>
    </row>
    <row r="58" customFormat="false" ht="30" hidden="false" customHeight="true" outlineLevel="0" collapsed="false">
      <c r="A58" s="3"/>
      <c r="B58" s="3"/>
      <c r="C58" s="3"/>
      <c r="D58" s="4"/>
      <c r="E58" s="3"/>
      <c r="F58" s="4"/>
      <c r="G58" s="3"/>
      <c r="H58" s="3"/>
    </row>
    <row r="59" customFormat="false" ht="30" hidden="false" customHeight="true" outlineLevel="0" collapsed="false">
      <c r="A59" s="3"/>
      <c r="B59" s="3"/>
      <c r="C59" s="3"/>
      <c r="D59" s="4"/>
      <c r="E59" s="3"/>
      <c r="F59" s="4"/>
      <c r="G59" s="3"/>
      <c r="H59" s="3"/>
    </row>
    <row r="60" customFormat="false" ht="30" hidden="false" customHeight="true" outlineLevel="0" collapsed="false">
      <c r="A60" s="3"/>
      <c r="B60" s="3"/>
      <c r="C60" s="3"/>
      <c r="D60" s="4"/>
      <c r="E60" s="3"/>
      <c r="F60" s="4"/>
      <c r="G60" s="3"/>
      <c r="H60" s="3"/>
    </row>
    <row r="61" customFormat="false" ht="30" hidden="false" customHeight="true" outlineLevel="0" collapsed="false">
      <c r="A61" s="3"/>
      <c r="B61" s="3"/>
      <c r="C61" s="3"/>
      <c r="D61" s="4"/>
      <c r="E61" s="3"/>
      <c r="F61" s="4"/>
      <c r="G61" s="3"/>
      <c r="H61" s="3"/>
    </row>
  </sheetData>
  <autoFilter ref="A1:H61"/>
  <conditionalFormatting sqref="H2:H61">
    <cfRule type="cellIs" priority="2" operator="equal" aboveAverage="0" equalAverage="0" bottom="0" percent="0" rank="0" text="" dxfId="3">
      <formula>"Done"</formula>
    </cfRule>
    <cfRule type="cellIs" priority="3" operator="equal" aboveAverage="0" equalAverage="0" bottom="0" percent="0" rank="0" text="" dxfId="4">
      <formula>"In Progress"</formula>
    </cfRule>
    <cfRule type="cellIs" priority="4" operator="equal" aboveAverage="0" equalAverage="0" bottom="0" percent="0" rank="0" text="" dxfId="5">
      <formula>"In Review"</formula>
    </cfRule>
    <cfRule type="cellIs" priority="5" operator="equal" aboveAverage="0" equalAverage="0" bottom="0" percent="0" rank="0" text="" dxfId="6">
      <formula>"Blocked"</formula>
    </cfRule>
    <cfRule type="cellIs" priority="6" operator="equal" aboveAverage="0" equalAverage="0" bottom="0" percent="0" rank="0" text="" dxfId="7">
      <formula>"Out of Scope"</formula>
    </cfRule>
  </conditionalFormatting>
  <dataValidations count="2">
    <dataValidation allowBlank="true" errorStyle="stop" operator="between" showDropDown="false" showErrorMessage="false" showInputMessage="false" sqref="E2:E61" type="list">
      <formula1>"Must have,Should have,Could have,Won't have"</formula1>
      <formula2>0</formula2>
    </dataValidation>
    <dataValidation allowBlank="true" errorStyle="stop" operator="between" showDropDown="false" showErrorMessage="false" showInputMessage="false" sqref="H2:H61" type="list">
      <formula1>"Not Started,In Progress,In Review,Done,Blocked,Out of Scope"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70"/>
    <col collapsed="false" customWidth="true" hidden="false" outlineLevel="0" max="6" min="5" style="0" width="11"/>
    <col collapsed="false" customWidth="true" hidden="false" outlineLevel="0" max="8" min="7" style="0" width="9"/>
  </cols>
  <sheetData>
    <row r="1" customFormat="false" ht="16.15" hidden="false" customHeight="false" outlineLevel="0" collapsed="false">
      <c r="A1" s="5" t="s">
        <v>138</v>
      </c>
    </row>
    <row r="2" customFormat="false" ht="15" hidden="false" customHeight="false" outlineLevel="0" collapsed="false">
      <c r="A2" s="6" t="s">
        <v>139</v>
      </c>
    </row>
    <row r="4" customFormat="false" ht="30" hidden="false" customHeight="true" outlineLevel="0" collapsed="false">
      <c r="A4" s="2" t="s">
        <v>140</v>
      </c>
      <c r="B4" s="2" t="s">
        <v>141</v>
      </c>
      <c r="C4" s="2" t="s">
        <v>142</v>
      </c>
      <c r="D4" s="2" t="s">
        <v>143</v>
      </c>
      <c r="E4" s="2" t="s">
        <v>144</v>
      </c>
      <c r="F4" s="2" t="s">
        <v>145</v>
      </c>
      <c r="G4" s="2" t="s">
        <v>146</v>
      </c>
      <c r="H4" s="2" t="s">
        <v>147</v>
      </c>
    </row>
    <row r="5" customFormat="false" ht="42" hidden="false" customHeight="true" outlineLevel="0" collapsed="false">
      <c r="A5" s="3" t="s">
        <v>8</v>
      </c>
      <c r="B5" s="3" t="s">
        <v>148</v>
      </c>
      <c r="C5" s="3" t="s">
        <v>149</v>
      </c>
      <c r="D5" s="4" t="s">
        <v>150</v>
      </c>
      <c r="E5" s="3" t="n">
        <f aca="false">COUNTIF('Product Backlog'!$A$2:$A$61,A5)</f>
        <v>10</v>
      </c>
      <c r="F5" s="3" t="n">
        <f aca="false">COUNTIFS('Product Backlog'!$A$2:$A$61,A5,'Product Backlog'!$E$2:$E$61,"Must have")</f>
        <v>7</v>
      </c>
      <c r="G5" s="3" t="n">
        <f aca="false">COUNTIFS('Product Backlog'!$A$2:$A$61,A5,'Product Backlog'!$H$2:$H$61,"Done")</f>
        <v>0</v>
      </c>
      <c r="H5" s="7" t="n">
        <f aca="false">IF(E5=0,0,G5/E5)</f>
        <v>0</v>
      </c>
    </row>
    <row r="6" customFormat="false" ht="42" hidden="false" customHeight="true" outlineLevel="0" collapsed="false">
      <c r="A6" s="3" t="s">
        <v>34</v>
      </c>
      <c r="B6" s="3" t="s">
        <v>151</v>
      </c>
      <c r="C6" s="3" t="s">
        <v>152</v>
      </c>
      <c r="D6" s="4" t="s">
        <v>153</v>
      </c>
      <c r="E6" s="3" t="n">
        <f aca="false">COUNTIF('Product Backlog'!$A$2:$A$61,A6)</f>
        <v>11</v>
      </c>
      <c r="F6" s="3" t="n">
        <f aca="false">COUNTIFS('Product Backlog'!$A$2:$A$61,A6,'Product Backlog'!$E$2:$E$61,"Must have")</f>
        <v>5</v>
      </c>
      <c r="G6" s="3" t="n">
        <f aca="false">COUNTIFS('Product Backlog'!$A$2:$A$61,A6,'Product Backlog'!$H$2:$H$61,"Done")</f>
        <v>0</v>
      </c>
      <c r="H6" s="7" t="n">
        <f aca="false">IF(E6=0,0,G6/E6)</f>
        <v>0</v>
      </c>
    </row>
    <row r="7" customFormat="false" ht="42" hidden="false" customHeight="true" outlineLevel="0" collapsed="false">
      <c r="A7" s="3" t="s">
        <v>61</v>
      </c>
      <c r="B7" s="3" t="s">
        <v>154</v>
      </c>
      <c r="C7" s="3" t="s">
        <v>155</v>
      </c>
      <c r="D7" s="4" t="s">
        <v>156</v>
      </c>
      <c r="E7" s="3" t="n">
        <f aca="false">COUNTIF('Product Backlog'!$A$2:$A$61,A7)</f>
        <v>16</v>
      </c>
      <c r="F7" s="3" t="n">
        <f aca="false">COUNTIFS('Product Backlog'!$A$2:$A$61,A7,'Product Backlog'!$E$2:$E$61,"Must have")</f>
        <v>10</v>
      </c>
      <c r="G7" s="3" t="n">
        <f aca="false">COUNTIFS('Product Backlog'!$A$2:$A$61,A7,'Product Backlog'!$H$2:$H$61,"Done")</f>
        <v>0</v>
      </c>
      <c r="H7" s="7" t="n">
        <f aca="false">IF(E7=0,0,G7/E7)</f>
        <v>0</v>
      </c>
    </row>
    <row r="8" customFormat="false" ht="42" hidden="false" customHeight="true" outlineLevel="0" collapsed="false">
      <c r="A8" s="3" t="s">
        <v>101</v>
      </c>
      <c r="B8" s="3" t="s">
        <v>157</v>
      </c>
      <c r="C8" s="3" t="s">
        <v>158</v>
      </c>
      <c r="D8" s="4" t="s">
        <v>159</v>
      </c>
      <c r="E8" s="3" t="n">
        <f aca="false">COUNTIF('Product Backlog'!$A$2:$A$61,A8)</f>
        <v>11</v>
      </c>
      <c r="F8" s="3" t="n">
        <f aca="false">COUNTIFS('Product Backlog'!$A$2:$A$61,A8,'Product Backlog'!$E$2:$E$61,"Must have")</f>
        <v>7</v>
      </c>
      <c r="G8" s="3" t="n">
        <f aca="false">COUNTIFS('Product Backlog'!$A$2:$A$61,A8,'Product Backlog'!$H$2:$H$61,"Done")</f>
        <v>0</v>
      </c>
      <c r="H8" s="7" t="n">
        <f aca="false">IF(E8=0,0,G8/E8)</f>
        <v>0</v>
      </c>
    </row>
    <row r="9" customFormat="false" ht="15" hidden="false" customHeight="false" outlineLevel="0" collapsed="false">
      <c r="A9" s="8" t="s">
        <v>160</v>
      </c>
      <c r="B9" s="8"/>
      <c r="C9" s="8"/>
      <c r="D9" s="8"/>
      <c r="E9" s="8" t="n">
        <f aca="false">SUM(E5:E8)</f>
        <v>48</v>
      </c>
      <c r="F9" s="8" t="n">
        <f aca="false">SUM(F5:F8)</f>
        <v>29</v>
      </c>
      <c r="G9" s="8" t="n">
        <f aca="false">SUM(G5:G8)</f>
        <v>0</v>
      </c>
      <c r="H9" s="9" t="n">
        <f aca="false">IF(E9=0,0,G9/E9)</f>
        <v>0</v>
      </c>
    </row>
    <row r="11" customFormat="false" ht="15" hidden="false" customHeight="false" outlineLevel="0" collapsed="false">
      <c r="A11" s="10" t="s">
        <v>161</v>
      </c>
    </row>
    <row r="12" customFormat="false" ht="15" hidden="false" customHeight="true" outlineLevel="0" collapsed="false">
      <c r="A12" s="11" t="s">
        <v>11</v>
      </c>
      <c r="B12" s="4" t="s">
        <v>162</v>
      </c>
      <c r="C12" s="4"/>
      <c r="D12" s="4"/>
    </row>
    <row r="13" customFormat="false" ht="15" hidden="false" customHeight="true" outlineLevel="0" collapsed="false">
      <c r="A13" s="11" t="s">
        <v>26</v>
      </c>
      <c r="B13" s="4" t="s">
        <v>163</v>
      </c>
      <c r="C13" s="4"/>
      <c r="D13" s="4"/>
    </row>
    <row r="14" customFormat="false" ht="15" hidden="false" customHeight="true" outlineLevel="0" collapsed="false">
      <c r="A14" s="11" t="s">
        <v>43</v>
      </c>
      <c r="B14" s="4" t="s">
        <v>164</v>
      </c>
      <c r="C14" s="4"/>
      <c r="D14" s="4"/>
    </row>
    <row r="15" customFormat="false" ht="15" hidden="false" customHeight="true" outlineLevel="0" collapsed="false">
      <c r="A15" s="11" t="s">
        <v>134</v>
      </c>
      <c r="B15" s="4" t="s">
        <v>165</v>
      </c>
      <c r="C15" s="4"/>
      <c r="D15" s="4"/>
    </row>
    <row r="17" customFormat="false" ht="15" hidden="false" customHeight="false" outlineLevel="0" collapsed="false">
      <c r="A17" s="10" t="s">
        <v>166</v>
      </c>
    </row>
    <row r="18" customFormat="false" ht="15" hidden="false" customHeight="true" outlineLevel="0" collapsed="false">
      <c r="A18" s="11" t="s">
        <v>13</v>
      </c>
      <c r="B18" s="4" t="s">
        <v>167</v>
      </c>
      <c r="C18" s="4"/>
      <c r="D18" s="4"/>
    </row>
    <row r="19" customFormat="false" ht="15" hidden="false" customHeight="true" outlineLevel="0" collapsed="false">
      <c r="A19" s="11" t="s">
        <v>168</v>
      </c>
      <c r="B19" s="4" t="s">
        <v>169</v>
      </c>
      <c r="C19" s="4"/>
      <c r="D19" s="4"/>
    </row>
    <row r="20" customFormat="false" ht="15" hidden="false" customHeight="true" outlineLevel="0" collapsed="false">
      <c r="A20" s="11" t="s">
        <v>170</v>
      </c>
      <c r="B20" s="4" t="s">
        <v>171</v>
      </c>
      <c r="C20" s="4"/>
      <c r="D20" s="4"/>
    </row>
    <row r="21" customFormat="false" ht="15" hidden="false" customHeight="true" outlineLevel="0" collapsed="false">
      <c r="A21" s="11" t="s">
        <v>146</v>
      </c>
      <c r="B21" s="4" t="s">
        <v>172</v>
      </c>
      <c r="C21" s="4"/>
      <c r="D21" s="4"/>
    </row>
    <row r="22" customFormat="false" ht="15" hidden="false" customHeight="true" outlineLevel="0" collapsed="false">
      <c r="A22" s="11" t="s">
        <v>173</v>
      </c>
      <c r="B22" s="4" t="s">
        <v>174</v>
      </c>
      <c r="C22" s="4"/>
      <c r="D22" s="4"/>
    </row>
    <row r="23" customFormat="false" ht="15" hidden="false" customHeight="true" outlineLevel="0" collapsed="false">
      <c r="A23" s="11" t="s">
        <v>135</v>
      </c>
      <c r="B23" s="4" t="s">
        <v>175</v>
      </c>
      <c r="C23" s="4"/>
      <c r="D23" s="4"/>
    </row>
    <row r="25" customFormat="false" ht="15" hidden="false" customHeight="false" outlineLevel="0" collapsed="false">
      <c r="A25" s="10" t="s">
        <v>176</v>
      </c>
    </row>
    <row r="26" customFormat="false" ht="30" hidden="false" customHeight="true" outlineLevel="0" collapsed="false">
      <c r="A26" s="12" t="s">
        <v>177</v>
      </c>
      <c r="B26" s="12"/>
      <c r="C26" s="12"/>
      <c r="D26" s="12"/>
      <c r="E26" s="12"/>
      <c r="F26" s="12"/>
      <c r="G26" s="12"/>
      <c r="H26" s="12"/>
    </row>
    <row r="27" customFormat="false" ht="30" hidden="false" customHeight="true" outlineLevel="0" collapsed="false">
      <c r="A27" s="12" t="s">
        <v>178</v>
      </c>
      <c r="B27" s="12"/>
      <c r="C27" s="12"/>
      <c r="D27" s="12"/>
      <c r="E27" s="12"/>
      <c r="F27" s="12"/>
      <c r="G27" s="12"/>
      <c r="H27" s="12"/>
    </row>
    <row r="28" customFormat="false" ht="30" hidden="false" customHeight="true" outlineLevel="0" collapsed="false">
      <c r="A28" s="12" t="s">
        <v>179</v>
      </c>
      <c r="B28" s="12"/>
      <c r="C28" s="12"/>
      <c r="D28" s="12"/>
      <c r="E28" s="12"/>
      <c r="F28" s="12"/>
      <c r="G28" s="12"/>
      <c r="H28" s="12"/>
    </row>
    <row r="29" customFormat="false" ht="30" hidden="false" customHeight="true" outlineLevel="0" collapsed="false">
      <c r="A29" s="12" t="s">
        <v>180</v>
      </c>
      <c r="B29" s="12"/>
      <c r="C29" s="12"/>
      <c r="D29" s="12"/>
      <c r="E29" s="12"/>
      <c r="F29" s="12"/>
      <c r="G29" s="12"/>
      <c r="H29" s="12"/>
    </row>
    <row r="30" customFormat="false" ht="30" hidden="false" customHeight="true" outlineLevel="0" collapsed="false">
      <c r="A30" s="12" t="s">
        <v>181</v>
      </c>
      <c r="B30" s="12"/>
      <c r="C30" s="12"/>
      <c r="D30" s="12"/>
      <c r="E30" s="12"/>
      <c r="F30" s="12"/>
      <c r="G30" s="12"/>
      <c r="H30" s="12"/>
    </row>
    <row r="31" customFormat="false" ht="30" hidden="false" customHeight="true" outlineLevel="0" collapsed="false">
      <c r="A31" s="12" t="s">
        <v>182</v>
      </c>
      <c r="B31" s="12"/>
      <c r="C31" s="12"/>
      <c r="D31" s="12"/>
      <c r="E31" s="12"/>
      <c r="F31" s="12"/>
      <c r="G31" s="12"/>
      <c r="H31" s="12"/>
    </row>
  </sheetData>
  <mergeCells count="16">
    <mergeCell ref="B12:D12"/>
    <mergeCell ref="B13:D13"/>
    <mergeCell ref="B14:D14"/>
    <mergeCell ref="B15:D15"/>
    <mergeCell ref="B18:D18"/>
    <mergeCell ref="B19:D19"/>
    <mergeCell ref="B20:D20"/>
    <mergeCell ref="B21:D21"/>
    <mergeCell ref="B22:D22"/>
    <mergeCell ref="B23:D23"/>
    <mergeCell ref="A26:H26"/>
    <mergeCell ref="A27:H27"/>
    <mergeCell ref="A28:H28"/>
    <mergeCell ref="A29:H29"/>
    <mergeCell ref="A30:H30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2026-09-21T13:53:05Z</dcterms:created>
  <dc:creator>openpyxl</dc:creator>
  <dc:description/>
  <dc:language>en-US</dc:language>
  <cp:lastModifiedBy/>
  <dcterms:modified xsi:type="dcterms:W3CDTF">2026-09-21T13:53:06Z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